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Paycheck Breakdown" sheetId="2" r:id="rId2"/>
    <sheet name="Overview" sheetId="3" r:id="rId3"/>
    <sheet name="Spending Budget" sheetId="4" r:id="rId4"/>
  </sheets>
  <calcPr calcId="124519" fullCalcOnLoad="1"/>
</workbook>
</file>

<file path=xl/sharedStrings.xml><?xml version="1.0" encoding="utf-8"?>
<sst xmlns="http://schemas.openxmlformats.org/spreadsheetml/2006/main" count="189" uniqueCount="124">
  <si>
    <t>MONTHLY BILLS - EDIT HERE</t>
  </si>
  <si>
    <t>(Yellow cells are editable - changes update all tabs)</t>
  </si>
  <si>
    <t>CURRENT INCOME</t>
  </si>
  <si>
    <t>Source</t>
  </si>
  <si>
    <t>Amount</t>
  </si>
  <si>
    <t>Your Income (monthly)</t>
  </si>
  <si>
    <t>Wife's Income (monthly)</t>
  </si>
  <si>
    <t>TOTAL CURRENT INCOME</t>
  </si>
  <si>
    <t>PROJECTED INCOME (After Wife's Raise)</t>
  </si>
  <si>
    <t>Your Income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</si>
  <si>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</si>
  <si>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</si>
  <si>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</si>
  <si>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</si>
  <si>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</si>
  <si>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</si>
  <si>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VEHICLES</t>
  </si>
  <si>
    <t>Expense</t>
  </si>
  <si>
    <t>Truck Payment</t>
  </si>
  <si>
    <t>Car Payment</t>
  </si>
  <si>
    <t>Boat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</si>
  <si>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</si>
  <si>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</si>
  <si>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</si>
  <si>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</si>
  <si>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</si>
  <si>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</si>
  <si>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</si>
  <si>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</si>
  <si>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</si>
  <si>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</si>
  <si>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</si>
  <si>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</si>
  <si>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</si>
  <si>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</si>
  <si>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</si>
  <si>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</si>
  <si>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</si>
  <si>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</si>
  <si>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</si>
  <si>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</si>
  <si>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</si>
  <si>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</si>
  <si>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</si>
  <si>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</si>
  <si>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</si>
  <si>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</si>
  <si>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</si>
  <si>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</si>
  <si>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</si>
  <si>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</si>
  <si>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</si>
  <si>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</si>
  <si>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</si>
  <si>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</si>
  <si>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</si>
  <si>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</si>
  <si>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</si>
  <si>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</si>
  <si>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Other</t>
  </si>
  <si>
    <t>PAYCHECK BREAKDOWN - WHERE TO PUT YOUR MONEY</t>
  </si>
  <si>
    <t>(Shows exactly how much from each paycheck goes to each account)</t>
  </si>
  <si>
    <t>MONTHLY TARGETS (from Overview)</t>
  </si>
  <si>
    <t>Total Monthly</t>
  </si>
  <si>
    <t>Bills Account</t>
  </si>
  <si>
    <t>Savings Account</t>
  </si>
  <si>
    <t>Spending Account</t>
  </si>
  <si>
    <t>Monthly Target</t>
  </si>
  <si>
    <t>YOUR PAYCHECKS (15th &amp; Last Day of Month) - 2 per month</t>
  </si>
  <si>
    <t>Per Paycheck</t>
  </si>
  <si>
    <t>Your Paycheck Amount</t>
  </si>
  <si>
    <t>Each Paycheck - Put in:</t>
  </si>
  <si>
    <t>YOUR MONTHLY TOTAL (2 paychecks)</t>
  </si>
  <si>
    <t>WIFE'S PAYCHECKS (Every 2 Weeks) - avg 2.167 per month</t>
  </si>
  <si>
    <t>Wife's Paycheck Amount</t>
  </si>
  <si>
    <t>WIFE'S MONTHLY TOTAL (avg 2.167 paychecks)</t>
  </si>
  <si>
    <t>COMBINED MONTHLY TOTALS</t>
  </si>
  <si>
    <t>Total Income</t>
  </si>
  <si>
    <t>COMBINED MONTHLY</t>
  </si>
  <si>
    <t>Target (should match)</t>
  </si>
  <si>
    <t>Difference (should be ~$0)</t>
  </si>
  <si>
    <t>QUICK REFERENCE - COPY THIS TO YOUR PHONE!</t>
  </si>
  <si>
    <t>YOUR PAYCHECKS (15th &amp; Last Day)</t>
  </si>
  <si>
    <t>Bills Account:</t>
  </si>
  <si>
    <t>Savings Account:</t>
  </si>
  <si>
    <t>Spending Account:</t>
  </si>
  <si>
    <t>TOTAL:</t>
  </si>
  <si>
    <t>WIFE'S PAYCHECKS (Every 2 Weeks)</t>
  </si>
  <si>
    <t>NOTE: Wife gets 3 paychecks some months (2 extra/year). Use those for extra savings or debt payoff!</t>
  </si>
  <si>
    <t>BUDGET OVERVIEW</t>
  </si>
  <si>
    <t>(All values linked to Monthly Bills tab)</t>
  </si>
  <si>
    <t>Wife's Income</t>
  </si>
  <si>
    <t>TOTAL INCOME</t>
  </si>
  <si>
    <t>CURRENT ACCOUNT ALLOCATION</t>
  </si>
  <si>
    <t>Account</t>
  </si>
  <si>
    <t>TOTAL</t>
  </si>
  <si>
    <t>CURRENT MONTHLY SUMMARY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</si>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</sst>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2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F634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0" fontId="3" fillId="9" borderId="0" xfId="0" applyFont="1" applyFill="1" applyAlignment="1">
      <alignment horizontal="left" vertical="center"/>
    </xf>
    <xf numFmtId="0" fontId="0" fillId="10" borderId="1" xfId="0" applyFill="1" applyBorder="1" applyAlignment="1">
      <alignment horizontal="left"/>
    </xf>
    <xf numFmtId="164" fontId="0" fillId="10" borderId="1" xfId="0" applyNumberFormat="1" applyFill="1" applyBorder="1" applyAlignment="1">
      <alignment horizontal="right"/>
    </xf>
    <xf numFmtId="0" fontId="5" fillId="11" borderId="2" xfId="0" applyFont="1" applyFill="1" applyBorder="1" applyAlignment="1">
      <alignment horizontal="left"/>
    </xf>
    <xf numFmtId="164" fontId="5" fillId="11" borderId="2" xfId="0" applyNumberFormat="1" applyFont="1" applyFill="1" applyBorder="1" applyAlignment="1">
      <alignment horizontal="right"/>
    </xf>
    <xf numFmtId="0" fontId="8" fillId="12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164" fontId="11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Overview!$D$6:$D$8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Overview!$E$6:$E$8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Overview!$D$19:$D$21</c:f>
              <c:strCache>
                <c:ptCount val="3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</c:strCache>
            </c:strRef>
          </c:cat>
          <c:val>
            <c:numRef>
              <c:f>Overview!$E$19:$E$21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0</xdr:rowOff>
    </xdr:from>
    <xdr:to>
      <xdr:col>7</xdr:col>
      <xdr:colOff>390525</xdr:colOff>
      <xdr:row>37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39</xdr:row>
      <xdr:rowOff>0</xdr:rowOff>
    </xdr:from>
    <xdr:to>
      <xdr:col>7</xdr:col>
      <xdr:colOff>390525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7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52</v>
      </c>
      <c r="E4" s="3"/>
    </row>
    <row r="5" spans="1:5">
      <c r="A5" s="4" t="s">
        <v>3</v>
      </c>
      <c r="B5" s="4" t="s">
        <v>4</v>
      </c>
      <c r="D5" s="4" t="s">
        <v>53</v>
      </c>
      <c r="E5" s="4" t="s">
        <v>4</v>
      </c>
    </row>
    <row r="6" spans="1:5">
      <c r="A6" s="5" t="s">
        <v>5</v>
      </c>
      <c r="B6" s="6">
        <v>6000</v>
      </c>
      <c r="D6" s="7" t="s">
        <v>54</v>
      </c>
      <c r="E6" s="8">
        <f>B27</f>
        <v>0</v>
      </c>
    </row>
    <row r="7" spans="1:5">
      <c r="A7" s="5" t="s">
        <v>6</v>
      </c>
      <c r="B7" s="6">
        <v>4875.5</v>
      </c>
      <c r="D7" s="7" t="s">
        <v>55</v>
      </c>
      <c r="E7" s="8">
        <f>B34</f>
        <v>0</v>
      </c>
    </row>
    <row r="8" spans="1:5">
      <c r="A8" s="9" t="s">
        <v>7</v>
      </c>
      <c r="B8" s="10">
        <f>SUM(B6:B7)</f>
        <v>0</v>
      </c>
      <c r="D8" s="7" t="s">
        <v>56</v>
      </c>
      <c r="E8" s="8">
        <f>B43</f>
        <v>0</v>
      </c>
    </row>
    <row r="9" spans="1:5">
      <c r="D9" s="7" t="s">
        <v>57</v>
      </c>
      <c r="E9" s="8">
        <f>B49</f>
        <v>0</v>
      </c>
    </row>
    <row r="10" spans="1:5">
      <c r="A10" s="11" t="s">
        <v>8</v>
      </c>
      <c r="B10" s="11"/>
      <c r="D10" s="7" t="s">
        <v>58</v>
      </c>
      <c r="E10" s="8">
        <f>B57</f>
        <v>0</v>
      </c>
    </row>
    <row r="11" spans="1:5">
      <c r="A11" s="4" t="s">
        <v>3</v>
      </c>
      <c r="B11" s="4" t="s">
        <v>4</v>
      </c>
      <c r="D11" s="7" t="s">
        <v>59</v>
      </c>
      <c r="E11" s="8">
        <f>B64</f>
        <v>0</v>
      </c>
    </row>
    <row r="12" spans="1:5">
      <c r="A12" s="12" t="s">
        <v>9</v>
      </c>
      <c r="B12" s="13">
        <f>B6</f>
        <v>0</v>
      </c>
    </row>
    <row r="13" spans="1:5">
      <c r="A13" s="12" t="s">
        <v>10</v>
      </c>
      <c r="B13" s="13">
        <v>5875</v>
      </c>
    </row>
    <row r="14" spans="1:5">
      <c r="A14" s="14" t="s">
        <v>11</v>
      </c>
      <c r="B14" s="15">
        <f>SUM(B12:B13)</f>
        <v>0</v>
      </c>
    </row>
    <row r="15" spans="1:5">
      <c r="A15" s="14" t="s">
        <v>12</v>
      </c>
      <c r="B15" s="15">
        <f>B14-B8</f>
        <v>0</v>
      </c>
    </row>
    <row r="17" spans="1:2">
      <c r="A17" s="3" t="s">
        <v>13</v>
      </c>
      <c r="B17" s="3"/>
    </row>
    <row r="18" spans="1:2">
      <c r="A18" s="5" t="s">
        <v>14</v>
      </c>
      <c r="B18" s="6">
        <v>200</v>
      </c>
    </row>
    <row r="19" spans="1:2">
      <c r="A19" s="5" t="s">
        <v>15</v>
      </c>
      <c r="B19" s="6">
        <v>900</v>
      </c>
    </row>
    <row r="21" spans="1:2">
      <c r="A21" s="3" t="s">
        <v>16</v>
      </c>
      <c r="B21" s="3"/>
    </row>
    <row r="22" spans="1:2">
      <c r="A22" s="4" t="s">
        <v>17</v>
      </c>
      <c r="B22" s="4" t="s">
        <v>4</v>
      </c>
    </row>
    <row r="23" spans="1:2">
      <c r="A23" s="5" t="s">
        <v>18</v>
      </c>
      <c r="B23" s="6">
        <v>900</v>
      </c>
    </row>
    <row r="24" spans="1:2">
      <c r="A24" s="5" t="s">
        <v>19</v>
      </c>
      <c r="B24" s="6">
        <v>700</v>
      </c>
    </row>
    <row r="25" spans="1:2">
      <c r="A25" s="5" t="s">
        <v>20</v>
      </c>
      <c r="B25" s="6">
        <v>565</v>
      </c>
    </row>
    <row r="26" spans="1:2">
      <c r="A26" s="5" t="s">
        <v>21</v>
      </c>
      <c r="B26" s="6">
        <v>800</v>
      </c>
    </row>
    <row r="27" spans="1:2">
      <c r="A27" s="9" t="s">
        <v>22</v>
      </c>
      <c r="B27" s="10">
        <f>SUM(B23:B26)</f>
        <v>0</v>
      </c>
    </row>
    <row r="29" spans="1:2">
      <c r="A29" s="3" t="s">
        <v>23</v>
      </c>
      <c r="B29" s="3"/>
    </row>
    <row r="30" spans="1:2">
      <c r="A30" s="4" t="s">
        <v>17</v>
      </c>
      <c r="B30" s="4" t="s">
        <v>4</v>
      </c>
    </row>
    <row r="31" spans="1:2">
      <c r="A31" s="5" t="s">
        <v>24</v>
      </c>
      <c r="B31" s="6">
        <v>641</v>
      </c>
    </row>
    <row r="32" spans="1:2">
      <c r="A32" s="5" t="s">
        <v>25</v>
      </c>
      <c r="B32" s="6">
        <v>362.9</v>
      </c>
    </row>
    <row r="33" spans="1:2">
      <c r="A33" s="5" t="s">
        <v>26</v>
      </c>
      <c r="B33" s="6">
        <v>300</v>
      </c>
    </row>
    <row r="34" spans="1:2">
      <c r="A34" s="9" t="s">
        <v>27</v>
      </c>
      <c r="B34" s="10">
        <f>SUM(B31:B33)</f>
        <v>0</v>
      </c>
    </row>
    <row r="36" spans="1:2">
      <c r="A36" s="3" t="s">
        <v>28</v>
      </c>
      <c r="B36" s="3"/>
    </row>
    <row r="37" spans="1:2">
      <c r="A37" s="4" t="s">
        <v>17</v>
      </c>
      <c r="B37" s="4" t="s">
        <v>4</v>
      </c>
    </row>
    <row r="38" spans="1:2">
      <c r="A38" s="5" t="s">
        <v>29</v>
      </c>
      <c r="B38" s="6">
        <v>400</v>
      </c>
    </row>
    <row r="39" spans="1:2">
      <c r="A39" s="5" t="s">
        <v>30</v>
      </c>
      <c r="B39" s="6">
        <v>85</v>
      </c>
    </row>
    <row r="40" spans="1:2">
      <c r="A40" s="5" t="s">
        <v>31</v>
      </c>
      <c r="B40" s="6">
        <v>120</v>
      </c>
    </row>
    <row r="41" spans="1:2">
      <c r="A41" s="5" t="s">
        <v>32</v>
      </c>
      <c r="B41" s="6">
        <v>550</v>
      </c>
    </row>
    <row r="42" spans="1:2">
      <c r="A42" s="5" t="s">
        <v>33</v>
      </c>
      <c r="B42" s="6">
        <v>14</v>
      </c>
    </row>
    <row r="43" spans="1:2">
      <c r="A43" s="9" t="s">
        <v>34</v>
      </c>
      <c r="B43" s="10">
        <f>SUM(B38:B42)</f>
        <v>0</v>
      </c>
    </row>
    <row r="45" spans="1:2">
      <c r="A45" s="3" t="s">
        <v>35</v>
      </c>
      <c r="B45" s="3"/>
    </row>
    <row r="46" spans="1:2">
      <c r="A46" s="4" t="s">
        <v>17</v>
      </c>
      <c r="B46" s="4" t="s">
        <v>4</v>
      </c>
    </row>
    <row r="47" spans="1:2">
      <c r="A47" s="5" t="s">
        <v>36</v>
      </c>
      <c r="B47" s="6">
        <v>104.17</v>
      </c>
    </row>
    <row r="48" spans="1:2">
      <c r="A48" s="5" t="s">
        <v>37</v>
      </c>
      <c r="B48" s="6">
        <v>34.3</v>
      </c>
    </row>
    <row r="49" spans="1:2">
      <c r="A49" s="9" t="s">
        <v>38</v>
      </c>
      <c r="B49" s="10">
        <f>SUM(B47:B48)</f>
        <v>0</v>
      </c>
    </row>
    <row r="51" spans="1:2">
      <c r="A51" s="3" t="s">
        <v>39</v>
      </c>
      <c r="B51" s="3"/>
    </row>
    <row r="52" spans="1:2">
      <c r="A52" s="4" t="s">
        <v>17</v>
      </c>
      <c r="B52" s="4" t="s">
        <v>4</v>
      </c>
    </row>
    <row r="53" spans="1:2">
      <c r="A53" s="5" t="s">
        <v>40</v>
      </c>
      <c r="B53" s="6">
        <v>105</v>
      </c>
    </row>
    <row r="54" spans="1:2">
      <c r="A54" s="5" t="s">
        <v>41</v>
      </c>
      <c r="B54" s="6">
        <v>106.16</v>
      </c>
    </row>
    <row r="55" spans="1:2">
      <c r="A55" s="5" t="s">
        <v>42</v>
      </c>
      <c r="B55" s="6">
        <v>338</v>
      </c>
    </row>
    <row r="56" spans="1:2">
      <c r="A56" s="5" t="s">
        <v>43</v>
      </c>
      <c r="B56" s="6">
        <v>519</v>
      </c>
    </row>
    <row r="57" spans="1:2">
      <c r="A57" s="9" t="s">
        <v>44</v>
      </c>
      <c r="B57" s="10">
        <f>SUM(B53:B56)</f>
        <v>0</v>
      </c>
    </row>
    <row r="59" spans="1:2">
      <c r="A59" s="3" t="s">
        <v>45</v>
      </c>
      <c r="B59" s="3"/>
    </row>
    <row r="60" spans="1:2">
      <c r="A60" s="4" t="s">
        <v>17</v>
      </c>
      <c r="B60" s="4" t="s">
        <v>4</v>
      </c>
    </row>
    <row r="61" spans="1:2">
      <c r="A61" s="5" t="s">
        <v>46</v>
      </c>
      <c r="B61" s="6">
        <v>600</v>
      </c>
    </row>
    <row r="62" spans="1:2">
      <c r="A62" s="5" t="s">
        <v>47</v>
      </c>
      <c r="B62" s="6">
        <v>100</v>
      </c>
    </row>
    <row r="63" spans="1:2">
      <c r="A63" s="5" t="s">
        <v>48</v>
      </c>
      <c r="B63" s="6">
        <v>240</v>
      </c>
    </row>
    <row r="64" spans="1:2">
      <c r="A64" s="9" t="s">
        <v>49</v>
      </c>
      <c r="B64" s="10">
        <f>SUM(B61:B63)</f>
        <v>0</v>
      </c>
    </row>
    <row r="66" spans="1:2">
      <c r="A66" s="3" t="s">
        <v>50</v>
      </c>
      <c r="B66" s="3"/>
    </row>
    <row r="67" spans="1:2">
      <c r="A67" s="9" t="s">
        <v>51</v>
      </c>
      <c r="B67" s="10">
        <f>B27+B34+B43+B49+B57+B64</f>
        <v>0</v>
      </c>
    </row>
  </sheetData>
  <mergeCells count="12">
    <mergeCell ref="A1:B1"/>
    <mergeCell ref="A4:B4"/>
    <mergeCell ref="A10:B10"/>
    <mergeCell ref="A17:B17"/>
    <mergeCell ref="A21:B21"/>
    <mergeCell ref="A29:B29"/>
    <mergeCell ref="A36:B36"/>
    <mergeCell ref="A45:B45"/>
    <mergeCell ref="A51:B51"/>
    <mergeCell ref="A59:B59"/>
    <mergeCell ref="A66:B66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"/>
  <sheetViews>
    <sheetView workbookViewId="0"/>
  </sheetViews>
  <sheetFormatPr defaultRowHeight="15"/>
  <cols>
    <col min="1" max="1" width="35.7109375" customWidth="1"/>
    <col min="2" max="5" width="18.7109375" customWidth="1"/>
  </cols>
  <sheetData>
    <row r="1" spans="1:5" ht="30" customHeight="1">
      <c r="A1" s="1" t="s">
        <v>60</v>
      </c>
      <c r="B1" s="1"/>
      <c r="C1" s="1"/>
      <c r="D1" s="1"/>
      <c r="E1" s="1"/>
    </row>
    <row r="2" spans="1:5">
      <c r="A2" s="2" t="s">
        <v>61</v>
      </c>
    </row>
    <row r="4" spans="1:5">
      <c r="A4" s="3" t="s">
        <v>62</v>
      </c>
      <c r="B4" s="3"/>
      <c r="C4" s="3"/>
      <c r="D4" s="3"/>
      <c r="E4" s="3"/>
    </row>
    <row r="5" spans="1:5">
      <c r="A5" s="4"/>
      <c r="B5" s="4" t="s">
        <v>63</v>
      </c>
      <c r="C5" s="4" t="s">
        <v>64</v>
      </c>
      <c r="D5" s="4" t="s">
        <v>65</v>
      </c>
      <c r="E5" s="4" t="s">
        <v>66</v>
      </c>
    </row>
    <row r="6" spans="1:5">
      <c r="A6" s="9" t="s">
        <v>67</v>
      </c>
      <c r="B6" s="10">
        <f>'Monthly Bills'!B8</f>
        <v>0</v>
      </c>
      <c r="C6" s="10">
        <f>'Monthly Bills'!B67+'Monthly Bills'!B18</f>
        <v>0</v>
      </c>
      <c r="D6" s="10">
        <f>'Monthly Bills'!B19</f>
        <v>0</v>
      </c>
      <c r="E6" s="10">
        <f>B6-C6-D6</f>
        <v>0</v>
      </c>
    </row>
    <row r="8" spans="1:5">
      <c r="A8" s="16" t="s">
        <v>68</v>
      </c>
      <c r="B8" s="16"/>
      <c r="C8" s="16"/>
      <c r="D8" s="16"/>
      <c r="E8" s="16"/>
    </row>
    <row r="9" spans="1:5">
      <c r="A9" s="4"/>
      <c r="B9" s="4" t="s">
        <v>69</v>
      </c>
      <c r="C9" s="4" t="s">
        <v>64</v>
      </c>
      <c r="D9" s="4" t="s">
        <v>65</v>
      </c>
      <c r="E9" s="4" t="s">
        <v>66</v>
      </c>
    </row>
    <row r="10" spans="1:5">
      <c r="A10" s="17" t="s">
        <v>70</v>
      </c>
      <c r="B10" s="18">
        <f>'Monthly Bills'!B6/2</f>
        <v>0</v>
      </c>
    </row>
    <row r="11" spans="1:5">
      <c r="A11" s="17" t="s">
        <v>71</v>
      </c>
      <c r="B11" s="18">
        <f>B10</f>
        <v>0</v>
      </c>
      <c r="C11" s="18">
        <f>ROUND(('Monthly Bills'!B6/'Monthly Bills'!B8)*$C$6/2,2)</f>
        <v>0</v>
      </c>
      <c r="D11" s="18">
        <f>ROUND(('Monthly Bills'!B6/'Monthly Bills'!B8)*$D$6/2,2)</f>
        <v>0</v>
      </c>
      <c r="E11" s="18">
        <f>B11-C11-D11</f>
        <v>0</v>
      </c>
    </row>
    <row r="12" spans="1:5">
      <c r="A12" s="19" t="s">
        <v>72</v>
      </c>
      <c r="B12" s="20">
        <f>B11*2</f>
        <v>0</v>
      </c>
      <c r="C12" s="20">
        <f>C11*2</f>
        <v>0</v>
      </c>
      <c r="D12" s="20">
        <f>D11*2</f>
        <v>0</v>
      </c>
      <c r="E12" s="20">
        <f>E11*2</f>
        <v>0</v>
      </c>
    </row>
    <row r="14" spans="1:5">
      <c r="A14" s="16" t="s">
        <v>73</v>
      </c>
      <c r="B14" s="16"/>
      <c r="C14" s="16"/>
      <c r="D14" s="16"/>
      <c r="E14" s="16"/>
    </row>
    <row r="15" spans="1:5">
      <c r="A15" s="4"/>
      <c r="B15" s="4" t="s">
        <v>69</v>
      </c>
      <c r="C15" s="4" t="s">
        <v>64</v>
      </c>
      <c r="D15" s="4" t="s">
        <v>65</v>
      </c>
      <c r="E15" s="4" t="s">
        <v>66</v>
      </c>
    </row>
    <row r="16" spans="1:5">
      <c r="A16" s="17" t="s">
        <v>74</v>
      </c>
      <c r="B16" s="18">
        <f>'Monthly Bills'!B7/2.167</f>
        <v>0</v>
      </c>
    </row>
    <row r="17" spans="1:5">
      <c r="A17" s="17" t="s">
        <v>71</v>
      </c>
      <c r="B17" s="18">
        <f>B16</f>
        <v>0</v>
      </c>
      <c r="C17" s="18">
        <f>ROUND(('Monthly Bills'!B7/'Monthly Bills'!B8)*$C$6/2.167,2)</f>
        <v>0</v>
      </c>
      <c r="D17" s="18">
        <f>ROUND(('Monthly Bills'!B7/'Monthly Bills'!B8)*$D$6/2.167,2)</f>
        <v>0</v>
      </c>
      <c r="E17" s="18">
        <f>B17-C17-D17</f>
        <v>0</v>
      </c>
    </row>
    <row r="18" spans="1:5">
      <c r="A18" s="19" t="s">
        <v>75</v>
      </c>
      <c r="B18" s="20">
        <f>B17*2.167</f>
        <v>0</v>
      </c>
      <c r="C18" s="20">
        <f>C17*2.167</f>
        <v>0</v>
      </c>
      <c r="D18" s="20">
        <f>D17*2.167</f>
        <v>0</v>
      </c>
      <c r="E18" s="20">
        <f>E17*2.167</f>
        <v>0</v>
      </c>
    </row>
    <row r="20" spans="1:5">
      <c r="A20" s="3" t="s">
        <v>76</v>
      </c>
      <c r="B20" s="3"/>
      <c r="C20" s="3"/>
      <c r="D20" s="3"/>
      <c r="E20" s="3"/>
    </row>
    <row r="21" spans="1:5">
      <c r="A21" s="4"/>
      <c r="B21" s="4" t="s">
        <v>77</v>
      </c>
      <c r="C21" s="4" t="s">
        <v>64</v>
      </c>
      <c r="D21" s="4" t="s">
        <v>65</v>
      </c>
      <c r="E21" s="4" t="s">
        <v>66</v>
      </c>
    </row>
    <row r="22" spans="1:5">
      <c r="A22" s="9" t="s">
        <v>78</v>
      </c>
      <c r="B22" s="10">
        <f>B12+B18</f>
        <v>0</v>
      </c>
      <c r="C22" s="10">
        <f>C12+C18</f>
        <v>0</v>
      </c>
      <c r="D22" s="10">
        <f>D12+D18</f>
        <v>0</v>
      </c>
      <c r="E22" s="10">
        <f>E12+E18</f>
        <v>0</v>
      </c>
    </row>
    <row r="23" spans="1:5">
      <c r="A23" s="7" t="s">
        <v>79</v>
      </c>
      <c r="B23" s="8">
        <f>B6</f>
        <v>0</v>
      </c>
      <c r="C23" s="8">
        <f>C6</f>
        <v>0</v>
      </c>
      <c r="D23" s="8">
        <f>D6</f>
        <v>0</v>
      </c>
      <c r="E23" s="8">
        <f>E6</f>
        <v>0</v>
      </c>
    </row>
    <row r="24" spans="1:5">
      <c r="A24" s="7" t="s">
        <v>80</v>
      </c>
      <c r="B24" s="8">
        <f>B22-B23</f>
        <v>0</v>
      </c>
      <c r="C24" s="8">
        <f>C22-C23</f>
        <v>0</v>
      </c>
      <c r="D24" s="8">
        <f>D22-D23</f>
        <v>0</v>
      </c>
      <c r="E24" s="8">
        <f>E22-E23</f>
        <v>0</v>
      </c>
    </row>
    <row r="26" spans="1:5">
      <c r="A26" s="21" t="s">
        <v>81</v>
      </c>
      <c r="B26" s="21"/>
      <c r="C26" s="21"/>
      <c r="D26" s="21"/>
      <c r="E26" s="21"/>
    </row>
    <row r="28" spans="1:5">
      <c r="A28" s="16" t="s">
        <v>82</v>
      </c>
      <c r="B28" s="16"/>
      <c r="D28" s="16" t="s">
        <v>87</v>
      </c>
      <c r="E28" s="16"/>
    </row>
    <row r="29" spans="1:5">
      <c r="A29" s="17" t="s">
        <v>83</v>
      </c>
      <c r="B29" s="20">
        <f>C11</f>
        <v>0</v>
      </c>
      <c r="D29" s="17" t="s">
        <v>83</v>
      </c>
      <c r="E29" s="20">
        <f>C17</f>
        <v>0</v>
      </c>
    </row>
    <row r="30" spans="1:5">
      <c r="A30" s="17" t="s">
        <v>84</v>
      </c>
      <c r="B30" s="20">
        <f>D11</f>
        <v>0</v>
      </c>
      <c r="D30" s="17" t="s">
        <v>84</v>
      </c>
      <c r="E30" s="20">
        <f>D17</f>
        <v>0</v>
      </c>
    </row>
    <row r="31" spans="1:5">
      <c r="A31" s="17" t="s">
        <v>85</v>
      </c>
      <c r="B31" s="20">
        <f>E11</f>
        <v>0</v>
      </c>
      <c r="D31" s="17" t="s">
        <v>85</v>
      </c>
      <c r="E31" s="20">
        <f>E17</f>
        <v>0</v>
      </c>
    </row>
    <row r="32" spans="1:5">
      <c r="A32" s="19" t="s">
        <v>86</v>
      </c>
      <c r="B32" s="20">
        <f>B10</f>
        <v>0</v>
      </c>
      <c r="D32" s="19" t="s">
        <v>86</v>
      </c>
      <c r="E32" s="20">
        <f>B16</f>
        <v>0</v>
      </c>
    </row>
    <row r="34" spans="1:5">
      <c r="A34" s="22" t="s">
        <v>88</v>
      </c>
      <c r="B34" s="22"/>
      <c r="C34" s="22"/>
      <c r="D34" s="22"/>
      <c r="E34" s="22"/>
    </row>
  </sheetData>
  <mergeCells count="9">
    <mergeCell ref="A1:E1"/>
    <mergeCell ref="A4:E4"/>
    <mergeCell ref="A8:E8"/>
    <mergeCell ref="A14:E14"/>
    <mergeCell ref="A20:E20"/>
    <mergeCell ref="A26:E26"/>
    <mergeCell ref="A28:B28"/>
    <mergeCell ref="D28:E28"/>
    <mergeCell ref="A34:E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89</v>
      </c>
      <c r="B1" s="1"/>
      <c r="C1" s="1"/>
      <c r="D1" s="1"/>
      <c r="E1" s="1"/>
    </row>
    <row r="2" spans="1:5">
      <c r="A2" s="2" t="s">
        <v>90</v>
      </c>
    </row>
    <row r="4" spans="1:5">
      <c r="A4" s="3" t="s">
        <v>2</v>
      </c>
      <c r="B4" s="3"/>
      <c r="D4" s="3" t="s">
        <v>93</v>
      </c>
      <c r="E4" s="3"/>
    </row>
    <row r="5" spans="1:5">
      <c r="A5" s="4" t="s">
        <v>3</v>
      </c>
      <c r="B5" s="4" t="s">
        <v>4</v>
      </c>
      <c r="D5" s="4" t="s">
        <v>94</v>
      </c>
      <c r="E5" s="4" t="s">
        <v>4</v>
      </c>
    </row>
    <row r="6" spans="1:5">
      <c r="A6" s="7" t="s">
        <v>9</v>
      </c>
      <c r="B6" s="8">
        <f>'Monthly Bills'!B6</f>
        <v>0</v>
      </c>
      <c r="D6" s="7" t="s">
        <v>64</v>
      </c>
      <c r="E6" s="8">
        <f>'Monthly Bills'!B67+'Monthly Bills'!B18</f>
        <v>0</v>
      </c>
    </row>
    <row r="7" spans="1:5">
      <c r="A7" s="7" t="s">
        <v>91</v>
      </c>
      <c r="B7" s="8">
        <f>'Monthly Bills'!B7</f>
        <v>0</v>
      </c>
      <c r="D7" s="7" t="s">
        <v>65</v>
      </c>
      <c r="E7" s="8">
        <f>'Monthly Bills'!B19</f>
        <v>0</v>
      </c>
    </row>
    <row r="8" spans="1:5">
      <c r="A8" s="9" t="s">
        <v>92</v>
      </c>
      <c r="B8" s="10">
        <f>'Monthly Bills'!B8</f>
        <v>0</v>
      </c>
      <c r="D8" s="7" t="s">
        <v>66</v>
      </c>
      <c r="E8" s="8">
        <f>'Monthly Bills'!B8-E6-E7</f>
        <v>0</v>
      </c>
    </row>
    <row r="9" spans="1:5">
      <c r="D9" s="9" t="s">
        <v>95</v>
      </c>
      <c r="E9" s="10">
        <f>SUM(E6:E8)</f>
        <v>0</v>
      </c>
    </row>
    <row r="10" spans="1:5">
      <c r="A10" s="3" t="s">
        <v>96</v>
      </c>
      <c r="B10" s="3"/>
    </row>
    <row r="11" spans="1:5">
      <c r="A11" s="7" t="s">
        <v>77</v>
      </c>
      <c r="B11" s="23">
        <f>'Monthly Bills'!B8</f>
        <v>0</v>
      </c>
    </row>
    <row r="12" spans="1:5">
      <c r="A12" s="7" t="s">
        <v>97</v>
      </c>
      <c r="B12" s="24">
        <f>'Monthly Bills'!B67</f>
        <v>0</v>
      </c>
    </row>
    <row r="13" spans="1:5">
      <c r="A13" s="7" t="s">
        <v>98</v>
      </c>
      <c r="B13" s="8">
        <f>'Monthly Bills'!B18</f>
        <v>0</v>
      </c>
    </row>
    <row r="14" spans="1:5">
      <c r="A14" s="7" t="s">
        <v>99</v>
      </c>
      <c r="B14" s="8">
        <f>'Monthly Bills'!B19</f>
        <v>0</v>
      </c>
    </row>
    <row r="15" spans="1:5">
      <c r="A15" s="7" t="s">
        <v>100</v>
      </c>
      <c r="B15" s="23">
        <f>E8</f>
        <v>0</v>
      </c>
    </row>
    <row r="17" spans="1:5">
      <c r="A17" s="11" t="s">
        <v>101</v>
      </c>
      <c r="B17" s="11"/>
      <c r="D17" s="11" t="s">
        <v>102</v>
      </c>
      <c r="E17" s="11"/>
    </row>
    <row r="18" spans="1:5">
      <c r="A18" s="4" t="s">
        <v>3</v>
      </c>
      <c r="B18" s="4" t="s">
        <v>4</v>
      </c>
      <c r="D18" s="4" t="s">
        <v>94</v>
      </c>
      <c r="E18" s="4" t="s">
        <v>4</v>
      </c>
    </row>
    <row r="19" spans="1:5">
      <c r="A19" s="12" t="s">
        <v>9</v>
      </c>
      <c r="B19" s="13">
        <f>'Monthly Bills'!B12</f>
        <v>0</v>
      </c>
      <c r="D19" s="12" t="s">
        <v>64</v>
      </c>
      <c r="E19" s="13">
        <f>'Monthly Bills'!B67+'Monthly Bills'!B18</f>
        <v>0</v>
      </c>
    </row>
    <row r="20" spans="1:5">
      <c r="A20" s="12" t="s">
        <v>10</v>
      </c>
      <c r="B20" s="13">
        <f>'Monthly Bills'!B13</f>
        <v>0</v>
      </c>
      <c r="D20" s="12" t="s">
        <v>65</v>
      </c>
      <c r="E20" s="13">
        <f>'Monthly Bills'!B19</f>
        <v>0</v>
      </c>
    </row>
    <row r="21" spans="1:5">
      <c r="A21" s="14" t="s">
        <v>11</v>
      </c>
      <c r="B21" s="15">
        <f>'Monthly Bills'!B14</f>
        <v>0</v>
      </c>
      <c r="D21" s="12" t="s">
        <v>66</v>
      </c>
      <c r="E21" s="13">
        <f>'Monthly Bills'!B14-E19-E20</f>
        <v>0</v>
      </c>
    </row>
    <row r="22" spans="1:5">
      <c r="D22" s="14" t="s">
        <v>95</v>
      </c>
      <c r="E22" s="15">
        <f>SUM(E19:E21)</f>
        <v>0</v>
      </c>
    </row>
    <row r="23" spans="1:5">
      <c r="A23" s="11" t="s">
        <v>103</v>
      </c>
      <c r="B23" s="11"/>
    </row>
    <row r="24" spans="1:5">
      <c r="A24" s="12" t="s">
        <v>104</v>
      </c>
      <c r="B24" s="13">
        <f>'Monthly Bills'!B14</f>
        <v>0</v>
      </c>
    </row>
    <row r="25" spans="1:5">
      <c r="A25" s="12" t="s">
        <v>97</v>
      </c>
      <c r="B25" s="13">
        <f>'Monthly Bills'!B67</f>
        <v>0</v>
      </c>
    </row>
    <row r="26" spans="1:5">
      <c r="A26" s="12" t="s">
        <v>98</v>
      </c>
      <c r="B26" s="13">
        <f>'Monthly Bills'!B18</f>
        <v>0</v>
      </c>
    </row>
    <row r="27" spans="1:5">
      <c r="A27" s="12" t="s">
        <v>99</v>
      </c>
      <c r="B27" s="13">
        <f>'Monthly Bills'!B19</f>
        <v>0</v>
      </c>
    </row>
    <row r="28" spans="1:5">
      <c r="A28" s="12" t="s">
        <v>105</v>
      </c>
      <c r="B28" s="13">
        <f>E21</f>
        <v>0</v>
      </c>
    </row>
    <row r="29" spans="1:5">
      <c r="A29" s="14" t="s">
        <v>106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107</v>
      </c>
      <c r="B1" s="1"/>
      <c r="C1" s="1"/>
      <c r="D1" s="1"/>
      <c r="E1" s="1"/>
      <c r="F1" s="1"/>
      <c r="G1" s="1"/>
    </row>
    <row r="3" spans="1:7">
      <c r="A3" s="3" t="s">
        <v>108</v>
      </c>
      <c r="B3" s="3"/>
      <c r="C3" s="3"/>
      <c r="E3" s="11" t="s">
        <v>121</v>
      </c>
      <c r="F3" s="11"/>
      <c r="G3" s="11"/>
    </row>
    <row r="4" spans="1:7">
      <c r="A4" s="7" t="s">
        <v>109</v>
      </c>
      <c r="B4" s="23">
        <f>Overview!E8</f>
        <v>0</v>
      </c>
      <c r="E4" s="12" t="s">
        <v>122</v>
      </c>
      <c r="F4" s="13">
        <f>Overview!E21</f>
        <v>0</v>
      </c>
    </row>
    <row r="6" spans="1:7">
      <c r="A6" s="4" t="s">
        <v>53</v>
      </c>
      <c r="B6" s="4" t="s">
        <v>110</v>
      </c>
      <c r="C6" s="4" t="s">
        <v>111</v>
      </c>
      <c r="E6" s="4" t="s">
        <v>53</v>
      </c>
      <c r="F6" s="4" t="s">
        <v>110</v>
      </c>
      <c r="G6" s="4" t="s">
        <v>111</v>
      </c>
    </row>
    <row r="7" spans="1:7">
      <c r="A7" s="5" t="s">
        <v>112</v>
      </c>
      <c r="B7" s="6">
        <v>350</v>
      </c>
      <c r="C7" s="25">
        <f>IF($B$4&gt;0,B7/$B$4,0)</f>
        <v>0</v>
      </c>
      <c r="E7" s="12" t="s">
        <v>112</v>
      </c>
      <c r="F7" s="13">
        <f>B7</f>
        <v>0</v>
      </c>
      <c r="G7" s="26">
        <f>IF($F$4&gt;0,F7/$F$4,0)</f>
        <v>0</v>
      </c>
    </row>
    <row r="8" spans="1:7">
      <c r="A8" s="5" t="s">
        <v>113</v>
      </c>
      <c r="B8" s="6">
        <v>225</v>
      </c>
      <c r="C8" s="25">
        <f>IF($B$4&gt;0,B8/$B$4,0)</f>
        <v>0</v>
      </c>
      <c r="E8" s="12" t="s">
        <v>113</v>
      </c>
      <c r="F8" s="13">
        <f>B8</f>
        <v>0</v>
      </c>
      <c r="G8" s="26">
        <f>IF($F$4&gt;0,F8/$F$4,0)</f>
        <v>0</v>
      </c>
    </row>
    <row r="9" spans="1:7">
      <c r="A9" s="5" t="s">
        <v>114</v>
      </c>
      <c r="B9" s="6">
        <v>225</v>
      </c>
      <c r="C9" s="25">
        <f>IF($B$4&gt;0,B9/$B$4,0)</f>
        <v>0</v>
      </c>
      <c r="E9" s="12" t="s">
        <v>114</v>
      </c>
      <c r="F9" s="13">
        <f>B9</f>
        <v>0</v>
      </c>
      <c r="G9" s="26">
        <f>IF($F$4&gt;0,F9/$F$4,0)</f>
        <v>0</v>
      </c>
    </row>
    <row r="10" spans="1:7">
      <c r="A10" s="5" t="s">
        <v>115</v>
      </c>
      <c r="B10" s="6">
        <v>175</v>
      </c>
      <c r="C10" s="25">
        <f>IF($B$4&gt;0,B10/$B$4,0)</f>
        <v>0</v>
      </c>
      <c r="E10" s="12" t="s">
        <v>115</v>
      </c>
      <c r="F10" s="13">
        <f>B10</f>
        <v>0</v>
      </c>
      <c r="G10" s="26">
        <f>IF($F$4&gt;0,F10/$F$4,0)</f>
        <v>0</v>
      </c>
    </row>
    <row r="11" spans="1:7">
      <c r="A11" s="5" t="s">
        <v>116</v>
      </c>
      <c r="B11" s="6">
        <v>150</v>
      </c>
      <c r="C11" s="25">
        <f>IF($B$4&gt;0,B11/$B$4,0)</f>
        <v>0</v>
      </c>
      <c r="E11" s="12" t="s">
        <v>116</v>
      </c>
      <c r="F11" s="13">
        <f>B11</f>
        <v>0</v>
      </c>
      <c r="G11" s="26">
        <f>IF($F$4&gt;0,F11/$F$4,0)</f>
        <v>0</v>
      </c>
    </row>
    <row r="12" spans="1:7">
      <c r="A12" s="5" t="s">
        <v>117</v>
      </c>
      <c r="B12" s="6">
        <v>150</v>
      </c>
      <c r="C12" s="25">
        <f>IF($B$4&gt;0,B12/$B$4,0)</f>
        <v>0</v>
      </c>
      <c r="E12" s="12" t="s">
        <v>117</v>
      </c>
      <c r="F12" s="13">
        <f>B12</f>
        <v>0</v>
      </c>
      <c r="G12" s="26">
        <f>IF($F$4&gt;0,F12/$F$4,0)</f>
        <v>0</v>
      </c>
    </row>
    <row r="13" spans="1:7">
      <c r="A13" s="5" t="s">
        <v>118</v>
      </c>
      <c r="B13" s="6">
        <v>100</v>
      </c>
      <c r="C13" s="25">
        <f>IF($B$4&gt;0,B13/$B$4,0)</f>
        <v>0</v>
      </c>
      <c r="E13" s="12" t="s">
        <v>118</v>
      </c>
      <c r="F13" s="13">
        <f>B13</f>
        <v>0</v>
      </c>
      <c r="G13" s="26">
        <f>IF($F$4&gt;0,F13/$F$4,0)</f>
        <v>0</v>
      </c>
    </row>
    <row r="14" spans="1:7">
      <c r="A14" s="9" t="s">
        <v>119</v>
      </c>
      <c r="B14" s="10">
        <f>$B$4-SUM(B7:B13)</f>
        <v>0</v>
      </c>
      <c r="C14" s="27">
        <f>IF($B$4&gt;0,B14/$B$4,0)</f>
        <v>0</v>
      </c>
      <c r="E14" s="14" t="s">
        <v>119</v>
      </c>
      <c r="F14" s="15">
        <f>$F$4-SUM(F7:F13)</f>
        <v>0</v>
      </c>
      <c r="G14" s="28">
        <f>IF($F$4&gt;0,F14/$F$4,0)</f>
        <v>0</v>
      </c>
    </row>
    <row r="16" spans="1:7">
      <c r="A16" s="9" t="s">
        <v>120</v>
      </c>
      <c r="B16" s="10">
        <f>SUM(B7:B14)</f>
        <v>0</v>
      </c>
      <c r="E16" s="14" t="s">
        <v>120</v>
      </c>
      <c r="F16" s="15">
        <f>SUM(F7:F14)</f>
        <v>0</v>
      </c>
    </row>
    <row r="18" spans="5:6">
      <c r="E18" s="14" t="s">
        <v>123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Bills</vt:lpstr>
      <vt:lpstr>Paycheck Breakdown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2026-09-28T16:41:43Z</dcterms:created>
  <dcterms:modified xsi:type="dcterms:W3CDTF">2026-09-28T16:41:43Z</dcterms:modified>
</cp:coreProperties>
</file>