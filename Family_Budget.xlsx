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Overview" sheetId="2" r:id="rId2"/>
    <sheet name="Spending Budget" sheetId="3" r:id="rId3"/>
  </sheets>
  <calcPr calcId="124519" fullCalcOnLoad="1"/>
</workbook>
</file>

<file path=xl/sharedStrings.xml><?xml version="1.0" encoding="utf-8"?>
<sst xmlns="http://schemas.openxmlformats.org/spreadsheetml/2006/main" count="104" uniqueCount="84">
  <si>
    <t>MONTHLY BILLS - EDIT HERE</t>
  </si>
  <si>
    <t>(Yellow cells are editable - changes update all tabs)</t>
  </si>
  <si>
    <t>INCOME</t>
  </si>
  <si>
    <t>Source</t>
  </si>
  <si>
    <t>Amount</t>
  </si>
  <si>
    <t>Your Income</t>
  </si>
  <si>
    <t>Wife's Income</t>
  </si>
  <si>
    <t>TOTAL INCOME</t>
  </si>
  <si>
    <t>SETTINGS</t>
  </si>
  <si>
    <t>Bills Account Buffer</t>
  </si>
  <si>
    <t>Monthly Savings Goal</t>
  </si>
  <si>
    <t>VEHICLES</t>
  </si>
  <si>
    <t>Expense</t>
  </si>
  <si>
    <t>Truck Payment</t>
  </si>
  <si>
    <t>Car Payment</t>
  </si>
  <si>
    <t>Boat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</si>
  <si>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</si>
  <si>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</si>
  <si>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</si>
  <si>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</si>
  <si>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</si>
  <si>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</si>
  <si>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</si>
  <si>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</si>
  <si>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</si>
  <si>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</si>
  <si>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</si>
  <si>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</si>
  <si>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</si>
  <si>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</si>
  <si>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</si>
  <si>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</si>
  <si>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</si>
  <si>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</si>
  <si>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</si>
  <si>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</si>
  <si>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</si>
  <si>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</si>
  <si>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</si>
  <si>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</si>
  <si>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</si>
  <si>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</si>
  <si>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</si>
  <si>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</si>
  <si>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</si>
  <si>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</si>
  <si>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</si>
  <si>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</si>
  <si>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</si>
  <si>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</si>
  <si>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</si>
  <si>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</si>
  <si>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</si>
  <si>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</si>
  <si>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Other</t>
  </si>
  <si>
    <t>BUDGET OVERVIEW</t>
  </si>
  <si>
    <t>(All values linked to Monthly Bills tab)</t>
  </si>
  <si>
    <t>ACCOUNT ALLOCATION</t>
  </si>
  <si>
    <t>Account</t>
  </si>
  <si>
    <t>Bills Account</t>
  </si>
  <si>
    <t>Savings Account</t>
  </si>
  <si>
    <t>Spending Account</t>
  </si>
  <si>
    <t>TOTAL</t>
  </si>
  <si>
    <t>MONTHLY SUMMARY</t>
  </si>
  <si>
    <t>Total Income</t>
  </si>
  <si>
    <t>Total Expenses</t>
  </si>
  <si>
    <t>Bills Buffer</t>
  </si>
  <si>
    <t>Savings</t>
  </si>
  <si>
    <t>Spending Money</t>
  </si>
  <si>
    <t>SPENDING ACCOUNT BUDGET</t>
  </si>
  <si>
    <t>Available for Spending:</t>
  </si>
  <si>
    <t>(Auto-calculated from Overview)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</si>
  <si>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</si>
  <si>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</si>
  <si>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</si>
  <si>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</si>
  <si>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</si>
  <si>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</si>
  <si>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</si>
  <si>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</si>
  <si>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</si>
  <si>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</si>
  <si>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</si>
  <si>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REMAINING UNBUDGETED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</si>
</sst>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Account Allocation</c:v>
          </c:tx>
          <c:dLbls>
            <c:showCatName val="1"/>
            <c:showPercent val="1"/>
          </c:dLbls>
          <c:cat>
            <c:strRef>
              <c:f>Overview!$D$6:$D$8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Overview!$E$6:$E$8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Spending Budget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7</xdr:col>
      <xdr:colOff>390525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13</xdr:col>
      <xdr:colOff>457200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0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47</v>
      </c>
      <c r="E4" s="3"/>
    </row>
    <row r="5" spans="1:5">
      <c r="A5" s="4" t="s">
        <v>3</v>
      </c>
      <c r="B5" s="4" t="s">
        <v>4</v>
      </c>
      <c r="D5" s="4" t="s">
        <v>48</v>
      </c>
      <c r="E5" s="4" t="s">
        <v>4</v>
      </c>
    </row>
    <row r="6" spans="1:5">
      <c r="A6" s="5" t="s">
        <v>5</v>
      </c>
      <c r="B6" s="6">
        <v>6000</v>
      </c>
      <c r="D6" s="7" t="s">
        <v>49</v>
      </c>
      <c r="E6" s="8">
        <f>B20</f>
        <v>0</v>
      </c>
    </row>
    <row r="7" spans="1:5">
      <c r="A7" s="5" t="s">
        <v>6</v>
      </c>
      <c r="B7" s="6">
        <v>4875.5</v>
      </c>
      <c r="D7" s="7" t="s">
        <v>50</v>
      </c>
      <c r="E7" s="8">
        <f>B27</f>
        <v>0</v>
      </c>
    </row>
    <row r="8" spans="1:5">
      <c r="A8" s="9" t="s">
        <v>7</v>
      </c>
      <c r="B8" s="10">
        <f>SUM(B6:B7)</f>
        <v>0</v>
      </c>
      <c r="D8" s="7" t="s">
        <v>51</v>
      </c>
      <c r="E8" s="8">
        <f>B36</f>
        <v>0</v>
      </c>
    </row>
    <row r="9" spans="1:5">
      <c r="D9" s="7" t="s">
        <v>52</v>
      </c>
      <c r="E9" s="8">
        <f>B42</f>
        <v>0</v>
      </c>
    </row>
    <row r="10" spans="1:5">
      <c r="A10" s="3" t="s">
        <v>8</v>
      </c>
      <c r="B10" s="3"/>
      <c r="D10" s="7" t="s">
        <v>53</v>
      </c>
      <c r="E10" s="8">
        <f>B50</f>
        <v>0</v>
      </c>
    </row>
    <row r="11" spans="1:5">
      <c r="A11" s="5" t="s">
        <v>9</v>
      </c>
      <c r="B11" s="6">
        <v>200</v>
      </c>
      <c r="D11" s="7" t="s">
        <v>54</v>
      </c>
      <c r="E11" s="8">
        <f>B57</f>
        <v>0</v>
      </c>
    </row>
    <row r="12" spans="1:5">
      <c r="A12" s="5" t="s">
        <v>10</v>
      </c>
      <c r="B12" s="6">
        <v>900</v>
      </c>
    </row>
    <row r="14" spans="1:5">
      <c r="A14" s="3" t="s">
        <v>11</v>
      </c>
      <c r="B14" s="3"/>
    </row>
    <row r="15" spans="1:5">
      <c r="A15" s="4" t="s">
        <v>12</v>
      </c>
      <c r="B15" s="4" t="s">
        <v>4</v>
      </c>
    </row>
    <row r="16" spans="1:5">
      <c r="A16" s="5" t="s">
        <v>13</v>
      </c>
      <c r="B16" s="6">
        <v>900</v>
      </c>
    </row>
    <row r="17" spans="1:2">
      <c r="A17" s="5" t="s">
        <v>14</v>
      </c>
      <c r="B17" s="6">
        <v>700</v>
      </c>
    </row>
    <row r="18" spans="1:2">
      <c r="A18" s="5" t="s">
        <v>15</v>
      </c>
      <c r="B18" s="6">
        <v>565</v>
      </c>
    </row>
    <row r="19" spans="1:2">
      <c r="A19" s="5" t="s">
        <v>16</v>
      </c>
      <c r="B19" s="6">
        <v>800</v>
      </c>
    </row>
    <row r="20" spans="1:2">
      <c r="A20" s="9" t="s">
        <v>17</v>
      </c>
      <c r="B20" s="10">
        <f>SUM(B16:B19)</f>
        <v>0</v>
      </c>
    </row>
    <row r="22" spans="1:2">
      <c r="A22" s="3" t="s">
        <v>18</v>
      </c>
      <c r="B22" s="3"/>
    </row>
    <row r="23" spans="1:2">
      <c r="A23" s="4" t="s">
        <v>12</v>
      </c>
      <c r="B23" s="4" t="s">
        <v>4</v>
      </c>
    </row>
    <row r="24" spans="1:2">
      <c r="A24" s="5" t="s">
        <v>19</v>
      </c>
      <c r="B24" s="6">
        <v>641</v>
      </c>
    </row>
    <row r="25" spans="1:2">
      <c r="A25" s="5" t="s">
        <v>20</v>
      </c>
      <c r="B25" s="6">
        <v>362.9</v>
      </c>
    </row>
    <row r="26" spans="1:2">
      <c r="A26" s="5" t="s">
        <v>21</v>
      </c>
      <c r="B26" s="6">
        <v>300</v>
      </c>
    </row>
    <row r="27" spans="1:2">
      <c r="A27" s="9" t="s">
        <v>22</v>
      </c>
      <c r="B27" s="10">
        <f>SUM(B24:B26)</f>
        <v>0</v>
      </c>
    </row>
    <row r="29" spans="1:2">
      <c r="A29" s="3" t="s">
        <v>23</v>
      </c>
      <c r="B29" s="3"/>
    </row>
    <row r="30" spans="1:2">
      <c r="A30" s="4" t="s">
        <v>12</v>
      </c>
      <c r="B30" s="4" t="s">
        <v>4</v>
      </c>
    </row>
    <row r="31" spans="1:2">
      <c r="A31" s="5" t="s">
        <v>24</v>
      </c>
      <c r="B31" s="6">
        <v>400</v>
      </c>
    </row>
    <row r="32" spans="1:2">
      <c r="A32" s="5" t="s">
        <v>25</v>
      </c>
      <c r="B32" s="6">
        <v>85</v>
      </c>
    </row>
    <row r="33" spans="1:2">
      <c r="A33" s="5" t="s">
        <v>26</v>
      </c>
      <c r="B33" s="6">
        <v>120</v>
      </c>
    </row>
    <row r="34" spans="1:2">
      <c r="A34" s="5" t="s">
        <v>27</v>
      </c>
      <c r="B34" s="6">
        <v>550</v>
      </c>
    </row>
    <row r="35" spans="1:2">
      <c r="A35" s="5" t="s">
        <v>28</v>
      </c>
      <c r="B35" s="6">
        <v>14</v>
      </c>
    </row>
    <row r="36" spans="1:2">
      <c r="A36" s="9" t="s">
        <v>29</v>
      </c>
      <c r="B36" s="10">
        <f>SUM(B31:B35)</f>
        <v>0</v>
      </c>
    </row>
    <row r="38" spans="1:2">
      <c r="A38" s="3" t="s">
        <v>30</v>
      </c>
      <c r="B38" s="3"/>
    </row>
    <row r="39" spans="1:2">
      <c r="A39" s="4" t="s">
        <v>12</v>
      </c>
      <c r="B39" s="4" t="s">
        <v>4</v>
      </c>
    </row>
    <row r="40" spans="1:2">
      <c r="A40" s="5" t="s">
        <v>31</v>
      </c>
      <c r="B40" s="6">
        <v>104.17</v>
      </c>
    </row>
    <row r="41" spans="1:2">
      <c r="A41" s="5" t="s">
        <v>32</v>
      </c>
      <c r="B41" s="6">
        <v>34.3</v>
      </c>
    </row>
    <row r="42" spans="1:2">
      <c r="A42" s="9" t="s">
        <v>33</v>
      </c>
      <c r="B42" s="10">
        <f>SUM(B40:B41)</f>
        <v>0</v>
      </c>
    </row>
    <row r="44" spans="1:2">
      <c r="A44" s="3" t="s">
        <v>34</v>
      </c>
      <c r="B44" s="3"/>
    </row>
    <row r="45" spans="1:2">
      <c r="A45" s="4" t="s">
        <v>12</v>
      </c>
      <c r="B45" s="4" t="s">
        <v>4</v>
      </c>
    </row>
    <row r="46" spans="1:2">
      <c r="A46" s="5" t="s">
        <v>35</v>
      </c>
      <c r="B46" s="6">
        <v>105</v>
      </c>
    </row>
    <row r="47" spans="1:2">
      <c r="A47" s="5" t="s">
        <v>36</v>
      </c>
      <c r="B47" s="6">
        <v>106.16</v>
      </c>
    </row>
    <row r="48" spans="1:2">
      <c r="A48" s="5" t="s">
        <v>37</v>
      </c>
      <c r="B48" s="6">
        <v>338</v>
      </c>
    </row>
    <row r="49" spans="1:2">
      <c r="A49" s="5" t="s">
        <v>38</v>
      </c>
      <c r="B49" s="6">
        <v>519</v>
      </c>
    </row>
    <row r="50" spans="1:2">
      <c r="A50" s="9" t="s">
        <v>39</v>
      </c>
      <c r="B50" s="10">
        <f>SUM(B46:B49)</f>
        <v>0</v>
      </c>
    </row>
    <row r="52" spans="1:2">
      <c r="A52" s="3" t="s">
        <v>40</v>
      </c>
      <c r="B52" s="3"/>
    </row>
    <row r="53" spans="1:2">
      <c r="A53" s="4" t="s">
        <v>12</v>
      </c>
      <c r="B53" s="4" t="s">
        <v>4</v>
      </c>
    </row>
    <row r="54" spans="1:2">
      <c r="A54" s="5" t="s">
        <v>41</v>
      </c>
      <c r="B54" s="6">
        <v>600</v>
      </c>
    </row>
    <row r="55" spans="1:2">
      <c r="A55" s="5" t="s">
        <v>42</v>
      </c>
      <c r="B55" s="6">
        <v>100</v>
      </c>
    </row>
    <row r="56" spans="1:2">
      <c r="A56" s="5" t="s">
        <v>43</v>
      </c>
      <c r="B56" s="6">
        <v>240</v>
      </c>
    </row>
    <row r="57" spans="1:2">
      <c r="A57" s="9" t="s">
        <v>44</v>
      </c>
      <c r="B57" s="10">
        <f>SUM(B54:B56)</f>
        <v>0</v>
      </c>
    </row>
    <row r="59" spans="1:2">
      <c r="A59" s="3" t="s">
        <v>45</v>
      </c>
      <c r="B59" s="3"/>
    </row>
    <row r="60" spans="1:2">
      <c r="A60" s="9" t="s">
        <v>46</v>
      </c>
      <c r="B60" s="10">
        <f>B20+B27+B36+B42+B50+B57</f>
        <v>0</v>
      </c>
    </row>
  </sheetData>
  <mergeCells count="11">
    <mergeCell ref="A1:B1"/>
    <mergeCell ref="A4:B4"/>
    <mergeCell ref="A10:B10"/>
    <mergeCell ref="A14:B14"/>
    <mergeCell ref="A22:B22"/>
    <mergeCell ref="A29:B29"/>
    <mergeCell ref="A38:B38"/>
    <mergeCell ref="A44:B44"/>
    <mergeCell ref="A52:B52"/>
    <mergeCell ref="A59:B59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55</v>
      </c>
      <c r="B1" s="1"/>
      <c r="C1" s="1"/>
      <c r="D1" s="1"/>
      <c r="E1" s="1"/>
    </row>
    <row r="2" spans="1:5">
      <c r="A2" s="2" t="s">
        <v>56</v>
      </c>
    </row>
    <row r="4" spans="1:5">
      <c r="A4" s="3" t="s">
        <v>2</v>
      </c>
      <c r="B4" s="3"/>
      <c r="D4" s="3" t="s">
        <v>57</v>
      </c>
      <c r="E4" s="3"/>
    </row>
    <row r="5" spans="1:5">
      <c r="A5" s="4" t="s">
        <v>3</v>
      </c>
      <c r="B5" s="4" t="s">
        <v>4</v>
      </c>
      <c r="D5" s="4" t="s">
        <v>58</v>
      </c>
      <c r="E5" s="4" t="s">
        <v>4</v>
      </c>
    </row>
    <row r="6" spans="1:5">
      <c r="A6" s="7" t="s">
        <v>5</v>
      </c>
      <c r="B6" s="8">
        <f>'Monthly Bills'!B6</f>
        <v>0</v>
      </c>
      <c r="D6" s="7" t="s">
        <v>59</v>
      </c>
      <c r="E6" s="8">
        <f>'Monthly Bills'!B60+'Monthly Bills'!B11</f>
        <v>0</v>
      </c>
    </row>
    <row r="7" spans="1:5">
      <c r="A7" s="7" t="s">
        <v>6</v>
      </c>
      <c r="B7" s="8">
        <f>'Monthly Bills'!B7</f>
        <v>0</v>
      </c>
      <c r="D7" s="7" t="s">
        <v>60</v>
      </c>
      <c r="E7" s="8">
        <f>'Monthly Bills'!B12</f>
        <v>0</v>
      </c>
    </row>
    <row r="8" spans="1:5">
      <c r="A8" s="9" t="s">
        <v>7</v>
      </c>
      <c r="B8" s="10">
        <f>'Monthly Bills'!B8</f>
        <v>0</v>
      </c>
      <c r="D8" s="7" t="s">
        <v>61</v>
      </c>
      <c r="E8" s="8">
        <f>'Monthly Bills'!B8-E6-E7</f>
        <v>0</v>
      </c>
    </row>
    <row r="9" spans="1:5">
      <c r="D9" s="9" t="s">
        <v>62</v>
      </c>
      <c r="E9" s="10">
        <f>SUM(E6:E8)</f>
        <v>0</v>
      </c>
    </row>
    <row r="10" spans="1:5">
      <c r="A10" s="3" t="s">
        <v>63</v>
      </c>
      <c r="B10" s="3"/>
    </row>
    <row r="11" spans="1:5">
      <c r="A11" s="7" t="s">
        <v>64</v>
      </c>
      <c r="B11" s="11">
        <f>'Monthly Bills'!B8</f>
        <v>0</v>
      </c>
    </row>
    <row r="12" spans="1:5">
      <c r="A12" s="7" t="s">
        <v>65</v>
      </c>
      <c r="B12" s="12">
        <f>'Monthly Bills'!B60</f>
        <v>0</v>
      </c>
    </row>
    <row r="13" spans="1:5">
      <c r="A13" s="7" t="s">
        <v>66</v>
      </c>
      <c r="B13" s="8">
        <f>'Monthly Bills'!B11</f>
        <v>0</v>
      </c>
    </row>
    <row r="14" spans="1:5">
      <c r="A14" s="7" t="s">
        <v>67</v>
      </c>
      <c r="B14" s="8">
        <f>'Monthly Bills'!B12</f>
        <v>0</v>
      </c>
    </row>
    <row r="15" spans="1:5">
      <c r="A15" s="7" t="s">
        <v>68</v>
      </c>
      <c r="B15" s="11">
        <f>E8</f>
        <v>0</v>
      </c>
    </row>
  </sheetData>
  <mergeCells count="4">
    <mergeCell ref="A1:E1"/>
    <mergeCell ref="A4:B4"/>
    <mergeCell ref="D4:E4"/>
    <mergeCell ref="A10:B1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25.7109375" customWidth="1"/>
    <col min="2" max="3" width="15.7109375" customWidth="1"/>
  </cols>
  <sheetData>
    <row r="1" spans="1:3" ht="30" customHeight="1">
      <c r="A1" s="1" t="s">
        <v>69</v>
      </c>
      <c r="B1" s="1"/>
      <c r="C1" s="1"/>
    </row>
    <row r="3" spans="1:3">
      <c r="A3" s="7" t="s">
        <v>70</v>
      </c>
      <c r="B3" s="11">
        <f>Overview!E8</f>
        <v>0</v>
      </c>
    </row>
    <row r="4" spans="1:3">
      <c r="A4" s="2" t="s">
        <v>71</v>
      </c>
    </row>
    <row r="6" spans="1:3">
      <c r="A6" s="4" t="s">
        <v>48</v>
      </c>
      <c r="B6" s="4" t="s">
        <v>72</v>
      </c>
      <c r="C6" s="4" t="s">
        <v>73</v>
      </c>
    </row>
    <row r="7" spans="1:3">
      <c r="A7" s="5" t="s">
        <v>74</v>
      </c>
      <c r="B7" s="6">
        <v>350</v>
      </c>
      <c r="C7" s="13">
        <f>IF($B$3&gt;0,B7/$B$3,0)</f>
        <v>0</v>
      </c>
    </row>
    <row r="8" spans="1:3">
      <c r="A8" s="5" t="s">
        <v>75</v>
      </c>
      <c r="B8" s="6">
        <v>225</v>
      </c>
      <c r="C8" s="13">
        <f>IF($B$3&gt;0,B8/$B$3,0)</f>
        <v>0</v>
      </c>
    </row>
    <row r="9" spans="1:3">
      <c r="A9" s="5" t="s">
        <v>76</v>
      </c>
      <c r="B9" s="6">
        <v>225</v>
      </c>
      <c r="C9" s="13">
        <f>IF($B$3&gt;0,B9/$B$3,0)</f>
        <v>0</v>
      </c>
    </row>
    <row r="10" spans="1:3">
      <c r="A10" s="5" t="s">
        <v>77</v>
      </c>
      <c r="B10" s="6">
        <v>175</v>
      </c>
      <c r="C10" s="13">
        <f>IF($B$3&gt;0,B10/$B$3,0)</f>
        <v>0</v>
      </c>
    </row>
    <row r="11" spans="1:3">
      <c r="A11" s="5" t="s">
        <v>78</v>
      </c>
      <c r="B11" s="6">
        <v>150</v>
      </c>
      <c r="C11" s="13">
        <f>IF($B$3&gt;0,B11/$B$3,0)</f>
        <v>0</v>
      </c>
    </row>
    <row r="12" spans="1:3">
      <c r="A12" s="5" t="s">
        <v>79</v>
      </c>
      <c r="B12" s="6">
        <v>150</v>
      </c>
      <c r="C12" s="13">
        <f>IF($B$3&gt;0,B12/$B$3,0)</f>
        <v>0</v>
      </c>
    </row>
    <row r="13" spans="1:3">
      <c r="A13" s="5" t="s">
        <v>80</v>
      </c>
      <c r="B13" s="6">
        <v>100</v>
      </c>
      <c r="C13" s="13">
        <f>IF($B$3&gt;0,B13/$B$3,0)</f>
        <v>0</v>
      </c>
    </row>
    <row r="14" spans="1:3">
      <c r="A14" s="9" t="s">
        <v>81</v>
      </c>
      <c r="B14" s="10">
        <f>$B$3-SUM(B7:B13)</f>
        <v>0</v>
      </c>
      <c r="C14" s="14">
        <f>IF($B$3&gt;0,B14/$B$3,0)</f>
        <v>0</v>
      </c>
    </row>
    <row r="16" spans="1:3">
      <c r="A16" s="9" t="s">
        <v>82</v>
      </c>
      <c r="B16" s="10">
        <f>SUM(B7:B14)</f>
        <v>0</v>
      </c>
    </row>
    <row r="17" spans="1:2">
      <c r="A17" s="9" t="s">
        <v>83</v>
      </c>
      <c r="B17" s="10">
        <f>$B$3-B16</f>
        <v>0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Monthly Bills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2026-09-25T18:13:25Z</dcterms:created>
  <dcterms:modified xsi:type="dcterms:W3CDTF">2026-09-25T18:13:25Z</dcterms:modified>
</cp:coreProperties>
</file>