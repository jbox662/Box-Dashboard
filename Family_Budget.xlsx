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Bills" sheetId="1" r:id="rId1"/>
    <sheet name="Paycheck Breakdown" sheetId="2" r:id="rId2"/>
    <sheet name="Overview" sheetId="3" r:id="rId3"/>
    <sheet name="Spending Budget" sheetId="4" r:id="rId4"/>
  </sheets>
  <calcPr calcId="124519" fullCalcOnLoad="1"/>
</workbook>
</file>

<file path=xl/sharedStrings.xml><?xml version="1.0" encoding="utf-8"?>
<sst xmlns="http://schemas.openxmlformats.org/spreadsheetml/2006/main" count="222" uniqueCount="150">
  <si>
    <t>MONTHLY BILLS - EDIT HERE</t>
  </si>
  <si>
    <t>(Yellow cells are editable - changes update all tabs)</t>
  </si>
  <si>
    <t>CURRENT INCOME</t>
  </si>
  <si>
    <t>Source</t>
  </si>
  <si>
    <t>Amount</t>
  </si>
  <si>
    <t>Your Income (monthly)</t>
  </si>
  <si>
    <t>Wife's Income (monthly)</t>
  </si>
  <si>
    <t>TOTAL CURRENT INCOME</t>
  </si>
  <si>
    <t>PROJECTED INCOME (After Wife's Raise)</t>
  </si>
  <si>
    <t>Your Income</t>
  </si>
  <si>
    <t>Wife's Projected Income</t>
  </si>
  <si>
    <t>TOTAL PROJECTED INCOME</t>
  </si>
  <si>
    <t>PROJECTED INCREASE</t>
  </si>
  <si>
    <t>SETTINGS</t>
  </si>
  <si>
    <t>Bills Account Buffer</t>
  </si>
  <si>
    <t>Monthly Savings Goal</t>
  </si>
  <si>
    <t>DIRECT DEPOSIT (Auto-deducted from paycheck)</t>
  </si>
  <si>
    <t>Description</t>
  </si>
  <si>
    <t>Per Paycheck</t>
  </si>
  <si>
    <t>Your DD (Boat &amp; Small Loan)</t>
  </si>
  <si>
    <t>Wife's DD (if any)</t>
  </si>
  <si>
    <t>Your Monthly DD Total</t>
  </si>
  <si>
    <t>Wife's Monthly DD Total</t>
  </si>
  <si>
    <t>VEHICLES</t>
  </si>
  <si>
    <t>Expense</t>
  </si>
  <si>
    <t>Truck Payment</t>
  </si>
  <si>
    <t>Car Payment</t>
  </si>
  <si>
    <t>Boat (via Direct Deposit)</t>
  </si>
  <si>
    <t>Fuel</t>
  </si>
  <si>
    <t>Vehicles Total</t>
  </si>
  <si>
    <t>HOUSING</t>
  </si>
  <si>
    <t>Shelter 1</t>
  </si>
  <si>
    <t>Shelter 2</t>
  </si>
  <si>
    <t>Shelter 3</t>
  </si>
  <si>
    <t>Housing Total</t>
  </si>
  <si>
    <t>UTILITIES</t>
  </si>
  <si>
    <t>Power</t>
  </si>
  <si>
    <t>Internet</t>
  </si>
  <si>
    <t>Water</t>
  </si>
  <si>
    <t>Phone</t>
  </si>
  <si>
    <t>Garbage (Three Rivers)</t>
  </si>
  <si>
    <t>Utilities Total</t>
  </si>
  <si>
    <t>INSURANCE</t>
  </si>
  <si>
    <t>Am Nat</t>
  </si>
  <si>
    <t>Man Life</t>
  </si>
  <si>
    <t>Insurance Total</t>
  </si>
  <si>
    <t>DEBT PAYMENTS</t>
  </si>
  <si>
    <t>IRS</t>
  </si>
  <si>
    <t>Loan (Upstart)</t>
  </si>
  <si>
    <t>Credit Card Consolidation</t>
  </si>
  <si>
    <t>CORS (Wife CC Consolidation)</t>
  </si>
  <si>
    <t>Debt Total</t>
  </si>
  <si>
    <t>SUBSCRIPTIONS</t>
  </si>
  <si>
    <t>Apple iCloud</t>
  </si>
  <si>
    <t>Apple Music</t>
  </si>
  <si>
    <t>Apple iCloud (2nd)</t>
  </si>
  <si>
    <t>Netflix</t>
  </si>
  <si>
    <t>Subscriptions Total</t>
  </si>
  <si>
    <t>OTHER EXPENSES</t>
  </si>
  <si>
    <t>Groceries</t>
  </si>
  <si>
    <t>Shein</t>
  </si>
  <si>
    <t>VB (entry fees)</t>
  </si>
  <si>
    <t>Other Total</t>
  </si>
  <si>
    <t>TOTALS</t>
  </si>
  <si>
    <t>TOTAL ALL EXPENSES</t>
  </si>
  <si>
    <t>Paid via Direct Deposit</t>
  </si>
  <si>
    <t>Remaining to pay from accounts</t>
  </si>
  <si>
    <t>CATEGORY SUMMARY</t>
  </si>
  <si>
    <t>Category</t>
  </si>
  <si>
    <t>Vehicles</t>
  </si>
  <si>
    <t>Housing</t>
  </si>
  <si>
    <t>Utilities</t>
  </si>
  <si>
    <t>Insurance</t>
  </si>
  <si>
    <t>Debt Payments</t>
  </si>
  <si>
    <t>Subscriptions</t>
  </si>
  <si>
    <t>Other</t>
  </si>
  <si>
    <t>PAYCHECK BREAKDOWN - WHERE TO PUT YOUR MONEY</t>
  </si>
  <si>
    <t>(Shows exactly how much from each paycheck goes to each account)</t>
  </si>
  <si>
    <t>MONTHLY TARGETS (what we need total each month)</t>
  </si>
  <si>
    <t>Total Monthly</t>
  </si>
  <si>
    <t>Bills Account</t>
  </si>
  <si>
    <t>Savings Account</t>
  </si>
  <si>
    <t>Spending Account</t>
  </si>
  <si>
    <t>Monthly Target</t>
  </si>
  <si>
    <t>YOUR PAYCHECKS (15th &amp; Last Day of Month) - 2 per month</t>
  </si>
  <si>
    <t>Your Gross Paycheck</t>
  </si>
  <si>
    <t>MINUS: Direct Deposit (Boat &amp; Loan)</t>
  </si>
  <si>
    <t>Your Take-Home to Split</t>
  </si>
  <si>
    <t>Each Paycheck - Put in:</t>
  </si>
  <si>
    <t>YOUR MONTHLY TOTAL</t>
  </si>
  <si>
    <t>(Plus Direct Deposit pays bills)</t>
  </si>
  <si>
    <t>WIFE'S PAYCHECKS (Every 2 Weeks) - avg 2.167 per month</t>
  </si>
  <si>
    <t>Wife's Gross Paycheck</t>
  </si>
  <si>
    <t>MINUS: Direct Deposit (if any)</t>
  </si>
  <si>
    <t>Wife's Take-Home to Split</t>
  </si>
  <si>
    <t>WIFE'S MONTHLY TOTAL (avg)</t>
  </si>
  <si>
    <t>COMBINED MONTHLY TOTALS (You + Wife)</t>
  </si>
  <si>
    <t>Total Income</t>
  </si>
  <si>
    <t>From Paychecks to Accounts</t>
  </si>
  <si>
    <t>Direct Deposits (pay bills directly)</t>
  </si>
  <si>
    <t>(pays bills)</t>
  </si>
  <si>
    <t>GRAND TOTAL</t>
  </si>
  <si>
    <t>Target (should match)</t>
  </si>
  <si>
    <t>QUICK REFERENCE - COPY THIS TO YOUR PHONE!</t>
  </si>
  <si>
    <t>YOUR PAYCHECKS (15th &amp; Last Day)</t>
  </si>
  <si>
    <t>Gross Paycheck:</t>
  </si>
  <si>
    <t>Direct Deposit (auto):</t>
  </si>
  <si>
    <t>Take-Home to Split:</t>
  </si>
  <si>
    <t xml:space="preserve">  → Bills Account:</t>
  </si>
  <si>
    <t xml:space="preserve">  → Savings Account:</t>
  </si>
  <si>
    <t xml:space="preserve">  → Spending Account:</t>
  </si>
  <si>
    <t>WIFE'S PAYCHECKS (Every 2 Weeks)</t>
  </si>
  <si>
    <t>NOTE: Your $450 direct deposit automatically pays Boat &amp; Small Loan - already accounted for in bills!</t>
  </si>
  <si>
    <t>Wife gets 3 paychecks some months (2 extra/year). Use those for extra savings or debt payoff!</t>
  </si>
  <si>
    <t>BUDGET OVERVIEW</t>
  </si>
  <si>
    <t>(All values linked to Monthly Bills tab)</t>
  </si>
  <si>
    <t>Wife's Income</t>
  </si>
  <si>
    <t>TOTAL INCOME</t>
  </si>
  <si>
    <t>CURRENT ACCOUNT ALLOCATION</t>
  </si>
  <si>
    <t>Account</t>
  </si>
  <si>
    <t>Direct Deposits (auto)</t>
  </si>
  <si>
    <t>TOTAL</t>
  </si>
  <si>
    <t>CURRENT MONTHLY SUMMARY</t>
  </si>
  <si>
    <t>Total Expenses</t>
  </si>
  <si>
    <t>Bills Buffer</t>
  </si>
  <si>
    <t>Savings</t>
  </si>
  <si>
    <t>Spending Money</t>
  </si>
  <si>
    <t>PROJECTED INCOME (After Raise)</t>
  </si>
  <si>
    <t>PROJECTED ACCOUNT ALLOCATION</t>
  </si>
  <si>
    <t>PROJECTED MONTHLY SUMMARY</t>
  </si>
  <si>
    <t>Total Projected Income</t>
  </si>
  <si>
    <t>Projected Spending Money</t>
  </si>
  <si>
    <t>EXTRA vs CURRENT</t>
  </si>
  <si>
    <t>SPENDING ACCOUNT BUDGET</t>
  </si>
  <si>
    <t>CURRENT SPENDING BUDGET</t>
  </si>
  <si>
    <t>Available for Spending:</t>
  </si>
  <si>
    <t>Budget</t>
  </si>
  <si>
    <t>% of Total</t>
  </si>
  <si>
    <t>Dining Out/Entertainment</t>
  </si>
  <si>
    <t>Personal (You)</t>
  </si>
  <si>
    <t>Personal (Wife)</t>
  </si>
  <si>
    <t>Household Items</t>
  </si>
  <si>
    <t>Car Maintenance</t>
  </si>
  <si>
    <t>Medical/Health</t>
  </si>
  <si>
    <t>Clothing</t>
  </si>
  <si>
    <t>Miscellaneous/Buffer</t>
  </si>
  <si>
    <t>TOTAL BUDGETED</t>
  </si>
  <si>
    <t>PROJECTED SPENDING BUDGET</t>
  </si>
  <si>
    <t>Projected Available:</t>
  </si>
  <si>
    <t>EXTRA BUFFER vs CURRENT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</si>
</sst>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%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i/>
      <sz val="11"/>
      <color rgb="FFDC143C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rgb="FF2E7D32"/>
      <name val="Calibri"/>
      <family val="2"/>
      <scheme val="minor"/>
    </font>
    <font>
      <b/>
      <sz val="14"/>
      <color rgb="FFC6282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  <fill>
      <patternFill patternType="solid">
        <fgColor rgb="FFF18F01"/>
        <bgColor indexed="64"/>
      </patternFill>
    </fill>
    <fill>
      <patternFill patternType="solid">
        <fgColor rgb="FFA23B7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C5E1A5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FF634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164" fontId="0" fillId="5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5" fillId="6" borderId="2" xfId="0" applyFont="1" applyFill="1" applyBorder="1" applyAlignment="1">
      <alignment horizontal="left"/>
    </xf>
    <xf numFmtId="164" fontId="5" fillId="6" borderId="2" xfId="0" applyNumberFormat="1" applyFont="1" applyFill="1" applyBorder="1" applyAlignment="1">
      <alignment horizontal="right"/>
    </xf>
    <xf numFmtId="0" fontId="3" fillId="7" borderId="0" xfId="0" applyFont="1" applyFill="1" applyAlignment="1">
      <alignment horizontal="left" vertical="center"/>
    </xf>
    <xf numFmtId="0" fontId="6" fillId="8" borderId="1" xfId="0" applyFont="1" applyFill="1" applyBorder="1" applyAlignment="1">
      <alignment horizontal="left"/>
    </xf>
    <xf numFmtId="164" fontId="6" fillId="8" borderId="1" xfId="0" applyNumberFormat="1" applyFont="1" applyFill="1" applyBorder="1" applyAlignment="1">
      <alignment horizontal="right"/>
    </xf>
    <xf numFmtId="0" fontId="7" fillId="8" borderId="2" xfId="0" applyFont="1" applyFill="1" applyBorder="1" applyAlignment="1">
      <alignment horizontal="left"/>
    </xf>
    <xf numFmtId="164" fontId="7" fillId="8" borderId="2" xfId="0" applyNumberFormat="1" applyFont="1" applyFill="1" applyBorder="1" applyAlignment="1">
      <alignment horizontal="right"/>
    </xf>
    <xf numFmtId="0" fontId="3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0" fillId="11" borderId="1" xfId="0" applyFill="1" applyBorder="1" applyAlignment="1">
      <alignment horizontal="left"/>
    </xf>
    <xf numFmtId="164" fontId="0" fillId="11" borderId="1" xfId="0" applyNumberFormat="1" applyFill="1" applyBorder="1" applyAlignment="1">
      <alignment horizontal="right"/>
    </xf>
    <xf numFmtId="0" fontId="0" fillId="12" borderId="1" xfId="0" applyFill="1" applyBorder="1" applyAlignment="1">
      <alignment horizontal="left"/>
    </xf>
    <xf numFmtId="164" fontId="0" fillId="12" borderId="1" xfId="0" applyNumberFormat="1" applyFill="1" applyBorder="1" applyAlignment="1">
      <alignment horizontal="right"/>
    </xf>
    <xf numFmtId="0" fontId="5" fillId="13" borderId="2" xfId="0" applyFont="1" applyFill="1" applyBorder="1" applyAlignment="1">
      <alignment horizontal="left"/>
    </xf>
    <xf numFmtId="164" fontId="5" fillId="13" borderId="2" xfId="0" applyNumberFormat="1" applyFont="1" applyFill="1" applyBorder="1" applyAlignment="1">
      <alignment horizontal="right"/>
    </xf>
    <xf numFmtId="0" fontId="8" fillId="14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1" fillId="0" borderId="1" xfId="0" applyNumberFormat="1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65" fontId="0" fillId="0" borderId="1" xfId="0" applyNumberForma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165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Expenses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Expenses</c:v>
          </c:tx>
          <c:spPr>
            <a:solidFill>
              <a:srgbClr val="A23B72"/>
            </a:solidFill>
          </c:spPr>
          <c:cat>
            <c:strRef>
              <c:f>'Monthly Bills'!$D$6:$D$12</c:f>
              <c:strCache>
                <c:ptCount val="7"/>
                <c:pt idx="0">
                  <c:v>Vehicles</c:v>
                </c:pt>
                <c:pt idx="1">
                  <c:v>Housing</c:v>
                </c:pt>
                <c:pt idx="2">
                  <c:v>Utilities</c:v>
                </c:pt>
                <c:pt idx="3">
                  <c:v>Insurance</c:v>
                </c:pt>
                <c:pt idx="4">
                  <c:v>Debt Payments</c:v>
                </c:pt>
                <c:pt idx="5">
                  <c:v>Subscriptions</c:v>
                </c:pt>
                <c:pt idx="6">
                  <c:v>Other</c:v>
                </c:pt>
              </c:strCache>
            </c:strRef>
          </c:cat>
          <c:val>
            <c:numRef>
              <c:f>'Monthly Bills'!$E$6:$E$12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Where Your Bill Money Goes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Bills Breakdown</c:v>
          </c:tx>
          <c:dLbls>
            <c:showPercent val="1"/>
          </c:dLbls>
          <c:cat>
            <c:strRef>
              <c:f>'Monthly Bills'!$D$6:$D$12</c:f>
              <c:strCache>
                <c:ptCount val="7"/>
                <c:pt idx="0">
                  <c:v>Vehicles</c:v>
                </c:pt>
                <c:pt idx="1">
                  <c:v>Housing</c:v>
                </c:pt>
                <c:pt idx="2">
                  <c:v>Utilities</c:v>
                </c:pt>
                <c:pt idx="3">
                  <c:v>Insurance</c:v>
                </c:pt>
                <c:pt idx="4">
                  <c:v>Debt Payments</c:v>
                </c:pt>
                <c:pt idx="5">
                  <c:v>Subscriptions</c:v>
                </c:pt>
                <c:pt idx="6">
                  <c:v>Other</c:v>
                </c:pt>
              </c:strCache>
            </c:strRef>
          </c:cat>
          <c:val>
            <c:numRef>
              <c:f>'Monthly Bills'!$E$6:$E$12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Current: How Your Money Is Split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Current Account Allocation</c:v>
          </c:tx>
          <c:dLbls>
            <c:showCatName val="1"/>
            <c:showPercent val="1"/>
          </c:dLbls>
          <c:cat>
            <c:strRef>
              <c:f>Overview!$D$6:$D$9</c:f>
              <c:strCache>
                <c:ptCount val="4"/>
                <c:pt idx="0">
                  <c:v>Bills Account</c:v>
                </c:pt>
                <c:pt idx="1">
                  <c:v>Savings Account</c:v>
                </c:pt>
                <c:pt idx="2">
                  <c:v>Spending Account</c:v>
                </c:pt>
                <c:pt idx="3">
                  <c:v>Direct Deposits (auto)</c:v>
                </c:pt>
              </c:strCache>
            </c:strRef>
          </c:cat>
          <c:val>
            <c:numRef>
              <c:f>Overview!$E$6:$E$9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PROJECTED: How Your Money Will Be Split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Projected Account Allocation</c:v>
          </c:tx>
          <c:dLbls>
            <c:showCatName val="1"/>
            <c:showPercent val="1"/>
          </c:dLbls>
          <c:cat>
            <c:strRef>
              <c:f>Overview!$D$19:$D$22</c:f>
              <c:strCache>
                <c:ptCount val="4"/>
                <c:pt idx="0">
                  <c:v>Bills Account</c:v>
                </c:pt>
                <c:pt idx="1">
                  <c:v>Savings Account</c:v>
                </c:pt>
                <c:pt idx="2">
                  <c:v>Spending Account</c:v>
                </c:pt>
                <c:pt idx="3">
                  <c:v>Direct Deposits (auto)</c:v>
                </c:pt>
              </c:strCache>
            </c:strRef>
          </c:cat>
          <c:val>
            <c:numRef>
              <c:f>Overview!$E$19:$E$22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Current Spending Breakdown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Current Spending Budget</c:v>
          </c:tx>
          <c:dLbls>
            <c:showCatName val="1"/>
            <c:showPercent val="1"/>
          </c:dLbls>
          <c:cat>
            <c:strRef>
              <c:f>'Spending Budget'!$A$7:$A$14</c:f>
              <c:strCache>
                <c:ptCount val="8"/>
                <c:pt idx="0">
                  <c:v>Dining Out/Entertainment</c:v>
                </c:pt>
                <c:pt idx="1">
                  <c:v>Personal (You)</c:v>
                </c:pt>
                <c:pt idx="2">
                  <c:v>Personal (Wife)</c:v>
                </c:pt>
                <c:pt idx="3">
                  <c:v>Household Items</c:v>
                </c:pt>
                <c:pt idx="4">
                  <c:v>Car Maintenance</c:v>
                </c:pt>
                <c:pt idx="5">
                  <c:v>Medical/Health</c:v>
                </c:pt>
                <c:pt idx="6">
                  <c:v>Clothing</c:v>
                </c:pt>
                <c:pt idx="7">
                  <c:v>Miscellaneous/Buffer</c:v>
                </c:pt>
              </c:strCache>
            </c:strRef>
          </c:cat>
          <c:val>
            <c:numRef>
              <c:f>'Spending Budget'!$B$7:$B$14</c:f>
              <c:numCache>
                <c:formatCode>General</c:formatCode>
                <c:ptCount val="8"/>
                <c:pt idx="0">
                  <c:v>350</c:v>
                </c:pt>
                <c:pt idx="1">
                  <c:v>225</c:v>
                </c:pt>
                <c:pt idx="2">
                  <c:v>225</c:v>
                </c:pt>
                <c:pt idx="3">
                  <c:v>175</c:v>
                </c:pt>
                <c:pt idx="4">
                  <c:v>150</c:v>
                </c:pt>
                <c:pt idx="5">
                  <c:v>150</c:v>
                </c:pt>
                <c:pt idx="6">
                  <c:v>100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PROJECTED Spending Breakdown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Projected Spending Budget</c:v>
          </c:tx>
          <c:dLbls>
            <c:showCatName val="1"/>
            <c:showPercent val="1"/>
          </c:dLbls>
          <c:cat>
            <c:strRef>
              <c:f>'Spending Budget'!$E$7:$E$14</c:f>
              <c:strCache>
                <c:ptCount val="8"/>
                <c:pt idx="0">
                  <c:v>Dining Out/Entertainment</c:v>
                </c:pt>
                <c:pt idx="1">
                  <c:v>Personal (You)</c:v>
                </c:pt>
                <c:pt idx="2">
                  <c:v>Personal (Wife)</c:v>
                </c:pt>
                <c:pt idx="3">
                  <c:v>Household Items</c:v>
                </c:pt>
                <c:pt idx="4">
                  <c:v>Car Maintenance</c:v>
                </c:pt>
                <c:pt idx="5">
                  <c:v>Medical/Health</c:v>
                </c:pt>
                <c:pt idx="6">
                  <c:v>Clothing</c:v>
                </c:pt>
                <c:pt idx="7">
                  <c:v>Miscellaneous/Buffer</c:v>
                </c:pt>
              </c:strCache>
            </c:strRef>
          </c:cat>
          <c:val>
            <c:numRef>
              <c:f>'Spending Budget'!$F$7:$F$14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9</xdr:col>
      <xdr:colOff>285750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9</xdr:col>
      <xdr:colOff>285750</xdr:colOff>
      <xdr:row>44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24</xdr:row>
      <xdr:rowOff>0</xdr:rowOff>
    </xdr:from>
    <xdr:to>
      <xdr:col>7</xdr:col>
      <xdr:colOff>390525</xdr:colOff>
      <xdr:row>38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7</xdr:col>
      <xdr:colOff>390525</xdr:colOff>
      <xdr:row>54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4</xdr:col>
      <xdr:colOff>838200</xdr:colOff>
      <xdr:row>33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9</xdr:col>
      <xdr:colOff>0</xdr:colOff>
      <xdr:row>33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cols>
    <col min="1" max="1" width="30.7109375" customWidth="1"/>
    <col min="2" max="2" width="20.7109375" customWidth="1"/>
    <col min="3" max="3" width="5.7109375" customWidth="1"/>
    <col min="4" max="4" width="25.7109375" customWidth="1"/>
    <col min="5" max="5" width="15.7109375" customWidth="1"/>
  </cols>
  <sheetData>
    <row r="1" spans="1:5" ht="30" customHeight="1">
      <c r="A1" s="1" t="s">
        <v>0</v>
      </c>
      <c r="B1" s="1"/>
    </row>
    <row r="2" spans="1:5">
      <c r="A2" s="2" t="s">
        <v>1</v>
      </c>
    </row>
    <row r="4" spans="1:5">
      <c r="A4" s="3" t="s">
        <v>2</v>
      </c>
      <c r="B4" s="3"/>
      <c r="D4" s="3" t="s">
        <v>67</v>
      </c>
      <c r="E4" s="3"/>
    </row>
    <row r="5" spans="1:5">
      <c r="A5" s="4" t="s">
        <v>3</v>
      </c>
      <c r="B5" s="4" t="s">
        <v>4</v>
      </c>
      <c r="D5" s="4" t="s">
        <v>68</v>
      </c>
      <c r="E5" s="4" t="s">
        <v>4</v>
      </c>
    </row>
    <row r="6" spans="1:5">
      <c r="A6" s="5" t="s">
        <v>5</v>
      </c>
      <c r="B6" s="6">
        <v>6000</v>
      </c>
      <c r="D6" s="7" t="s">
        <v>69</v>
      </c>
      <c r="E6" s="8">
        <f>B34</f>
        <v>0</v>
      </c>
    </row>
    <row r="7" spans="1:5">
      <c r="A7" s="5" t="s">
        <v>6</v>
      </c>
      <c r="B7" s="6">
        <v>4875.5</v>
      </c>
      <c r="D7" s="7" t="s">
        <v>70</v>
      </c>
      <c r="E7" s="8">
        <f>B41</f>
        <v>0</v>
      </c>
    </row>
    <row r="8" spans="1:5">
      <c r="A8" s="9" t="s">
        <v>7</v>
      </c>
      <c r="B8" s="10">
        <f>SUM(B6:B7)</f>
        <v>0</v>
      </c>
      <c r="D8" s="7" t="s">
        <v>71</v>
      </c>
      <c r="E8" s="8">
        <f>B50</f>
        <v>0</v>
      </c>
    </row>
    <row r="9" spans="1:5">
      <c r="D9" s="7" t="s">
        <v>72</v>
      </c>
      <c r="E9" s="8">
        <f>B56</f>
        <v>0</v>
      </c>
    </row>
    <row r="10" spans="1:5">
      <c r="A10" s="11" t="s">
        <v>8</v>
      </c>
      <c r="B10" s="11"/>
      <c r="D10" s="7" t="s">
        <v>73</v>
      </c>
      <c r="E10" s="8">
        <f>B64</f>
        <v>0</v>
      </c>
    </row>
    <row r="11" spans="1:5">
      <c r="A11" s="4" t="s">
        <v>3</v>
      </c>
      <c r="B11" s="4" t="s">
        <v>4</v>
      </c>
      <c r="D11" s="7" t="s">
        <v>74</v>
      </c>
      <c r="E11" s="8">
        <f>B72</f>
        <v>0</v>
      </c>
    </row>
    <row r="12" spans="1:5">
      <c r="A12" s="12" t="s">
        <v>9</v>
      </c>
      <c r="B12" s="13">
        <f>B6</f>
        <v>0</v>
      </c>
      <c r="D12" s="7" t="s">
        <v>75</v>
      </c>
      <c r="E12" s="8">
        <f>B79</f>
        <v>0</v>
      </c>
    </row>
    <row r="13" spans="1:5">
      <c r="A13" s="12" t="s">
        <v>10</v>
      </c>
      <c r="B13" s="13">
        <v>5875</v>
      </c>
    </row>
    <row r="14" spans="1:5">
      <c r="A14" s="14" t="s">
        <v>11</v>
      </c>
      <c r="B14" s="15">
        <f>SUM(B12:B13)</f>
        <v>0</v>
      </c>
    </row>
    <row r="15" spans="1:5">
      <c r="A15" s="14" t="s">
        <v>12</v>
      </c>
      <c r="B15" s="15">
        <f>B14-B8</f>
        <v>0</v>
      </c>
    </row>
    <row r="17" spans="1:2">
      <c r="A17" s="3" t="s">
        <v>13</v>
      </c>
      <c r="B17" s="3"/>
    </row>
    <row r="18" spans="1:2">
      <c r="A18" s="5" t="s">
        <v>14</v>
      </c>
      <c r="B18" s="6">
        <v>200</v>
      </c>
    </row>
    <row r="19" spans="1:2">
      <c r="A19" s="5" t="s">
        <v>15</v>
      </c>
      <c r="B19" s="6">
        <v>900</v>
      </c>
    </row>
    <row r="21" spans="1:2">
      <c r="A21" s="16" t="s">
        <v>16</v>
      </c>
      <c r="B21" s="16"/>
    </row>
    <row r="22" spans="1:2">
      <c r="A22" s="4" t="s">
        <v>17</v>
      </c>
      <c r="B22" s="4" t="s">
        <v>18</v>
      </c>
    </row>
    <row r="23" spans="1:2">
      <c r="A23" s="5" t="s">
        <v>19</v>
      </c>
      <c r="B23" s="6">
        <v>450</v>
      </c>
    </row>
    <row r="24" spans="1:2">
      <c r="A24" s="5" t="s">
        <v>20</v>
      </c>
      <c r="B24" s="6">
        <v>0</v>
      </c>
    </row>
    <row r="25" spans="1:2">
      <c r="A25" s="9" t="s">
        <v>21</v>
      </c>
      <c r="B25" s="10">
        <f>B23*2</f>
        <v>0</v>
      </c>
    </row>
    <row r="26" spans="1:2">
      <c r="A26" s="9" t="s">
        <v>22</v>
      </c>
      <c r="B26" s="10">
        <f>B24*2.167</f>
        <v>0</v>
      </c>
    </row>
    <row r="28" spans="1:2">
      <c r="A28" s="3" t="s">
        <v>23</v>
      </c>
      <c r="B28" s="3"/>
    </row>
    <row r="29" spans="1:2">
      <c r="A29" s="4" t="s">
        <v>24</v>
      </c>
      <c r="B29" s="4" t="s">
        <v>4</v>
      </c>
    </row>
    <row r="30" spans="1:2">
      <c r="A30" s="5" t="s">
        <v>25</v>
      </c>
      <c r="B30" s="6">
        <v>900</v>
      </c>
    </row>
    <row r="31" spans="1:2">
      <c r="A31" s="5" t="s">
        <v>26</v>
      </c>
      <c r="B31" s="6">
        <v>700</v>
      </c>
    </row>
    <row r="32" spans="1:2">
      <c r="A32" s="5" t="s">
        <v>27</v>
      </c>
      <c r="B32" s="6">
        <v>565</v>
      </c>
    </row>
    <row r="33" spans="1:2">
      <c r="A33" s="5" t="s">
        <v>28</v>
      </c>
      <c r="B33" s="6">
        <v>800</v>
      </c>
    </row>
    <row r="34" spans="1:2">
      <c r="A34" s="9" t="s">
        <v>29</v>
      </c>
      <c r="B34" s="10">
        <f>SUM(B30:B33)</f>
        <v>0</v>
      </c>
    </row>
    <row r="36" spans="1:2">
      <c r="A36" s="3" t="s">
        <v>30</v>
      </c>
      <c r="B36" s="3"/>
    </row>
    <row r="37" spans="1:2">
      <c r="A37" s="4" t="s">
        <v>24</v>
      </c>
      <c r="B37" s="4" t="s">
        <v>4</v>
      </c>
    </row>
    <row r="38" spans="1:2">
      <c r="A38" s="5" t="s">
        <v>31</v>
      </c>
      <c r="B38" s="6">
        <v>641</v>
      </c>
    </row>
    <row r="39" spans="1:2">
      <c r="A39" s="5" t="s">
        <v>32</v>
      </c>
      <c r="B39" s="6">
        <v>362.9</v>
      </c>
    </row>
    <row r="40" spans="1:2">
      <c r="A40" s="5" t="s">
        <v>33</v>
      </c>
      <c r="B40" s="6">
        <v>300</v>
      </c>
    </row>
    <row r="41" spans="1:2">
      <c r="A41" s="9" t="s">
        <v>34</v>
      </c>
      <c r="B41" s="10">
        <f>SUM(B38:B40)</f>
        <v>0</v>
      </c>
    </row>
    <row r="43" spans="1:2">
      <c r="A43" s="3" t="s">
        <v>35</v>
      </c>
      <c r="B43" s="3"/>
    </row>
    <row r="44" spans="1:2">
      <c r="A44" s="4" t="s">
        <v>24</v>
      </c>
      <c r="B44" s="4" t="s">
        <v>4</v>
      </c>
    </row>
    <row r="45" spans="1:2">
      <c r="A45" s="5" t="s">
        <v>36</v>
      </c>
      <c r="B45" s="6">
        <v>400</v>
      </c>
    </row>
    <row r="46" spans="1:2">
      <c r="A46" s="5" t="s">
        <v>37</v>
      </c>
      <c r="B46" s="6">
        <v>85</v>
      </c>
    </row>
    <row r="47" spans="1:2">
      <c r="A47" s="5" t="s">
        <v>38</v>
      </c>
      <c r="B47" s="6">
        <v>120</v>
      </c>
    </row>
    <row r="48" spans="1:2">
      <c r="A48" s="5" t="s">
        <v>39</v>
      </c>
      <c r="B48" s="6">
        <v>550</v>
      </c>
    </row>
    <row r="49" spans="1:2">
      <c r="A49" s="5" t="s">
        <v>40</v>
      </c>
      <c r="B49" s="6">
        <v>14</v>
      </c>
    </row>
    <row r="50" spans="1:2">
      <c r="A50" s="9" t="s">
        <v>41</v>
      </c>
      <c r="B50" s="10">
        <f>SUM(B45:B49)</f>
        <v>0</v>
      </c>
    </row>
    <row r="52" spans="1:2">
      <c r="A52" s="3" t="s">
        <v>42</v>
      </c>
      <c r="B52" s="3"/>
    </row>
    <row r="53" spans="1:2">
      <c r="A53" s="4" t="s">
        <v>24</v>
      </c>
      <c r="B53" s="4" t="s">
        <v>4</v>
      </c>
    </row>
    <row r="54" spans="1:2">
      <c r="A54" s="5" t="s">
        <v>43</v>
      </c>
      <c r="B54" s="6">
        <v>104.17</v>
      </c>
    </row>
    <row r="55" spans="1:2">
      <c r="A55" s="5" t="s">
        <v>44</v>
      </c>
      <c r="B55" s="6">
        <v>34.3</v>
      </c>
    </row>
    <row r="56" spans="1:2">
      <c r="A56" s="9" t="s">
        <v>45</v>
      </c>
      <c r="B56" s="10">
        <f>SUM(B54:B55)</f>
        <v>0</v>
      </c>
    </row>
    <row r="58" spans="1:2">
      <c r="A58" s="3" t="s">
        <v>46</v>
      </c>
      <c r="B58" s="3"/>
    </row>
    <row r="59" spans="1:2">
      <c r="A59" s="4" t="s">
        <v>24</v>
      </c>
      <c r="B59" s="4" t="s">
        <v>4</v>
      </c>
    </row>
    <row r="60" spans="1:2">
      <c r="A60" s="5" t="s">
        <v>47</v>
      </c>
      <c r="B60" s="6">
        <v>105</v>
      </c>
    </row>
    <row r="61" spans="1:2">
      <c r="A61" s="5" t="s">
        <v>48</v>
      </c>
      <c r="B61" s="6">
        <v>106.16</v>
      </c>
    </row>
    <row r="62" spans="1:2">
      <c r="A62" s="5" t="s">
        <v>49</v>
      </c>
      <c r="B62" s="6">
        <v>338</v>
      </c>
    </row>
    <row r="63" spans="1:2">
      <c r="A63" s="5" t="s">
        <v>50</v>
      </c>
      <c r="B63" s="6">
        <v>519</v>
      </c>
    </row>
    <row r="64" spans="1:2">
      <c r="A64" s="9" t="s">
        <v>51</v>
      </c>
      <c r="B64" s="10">
        <f>SUM(B60:B63)</f>
        <v>0</v>
      </c>
    </row>
    <row r="66" spans="1:2">
      <c r="A66" s="3" t="s">
        <v>52</v>
      </c>
      <c r="B66" s="3"/>
    </row>
    <row r="67" spans="1:2">
      <c r="A67" s="4" t="s">
        <v>24</v>
      </c>
      <c r="B67" s="4" t="s">
        <v>4</v>
      </c>
    </row>
    <row r="68" spans="1:2">
      <c r="A68" s="5" t="s">
        <v>53</v>
      </c>
      <c r="B68" s="6">
        <v>9.99</v>
      </c>
    </row>
    <row r="69" spans="1:2">
      <c r="A69" s="5" t="s">
        <v>54</v>
      </c>
      <c r="B69" s="6">
        <v>19.99</v>
      </c>
    </row>
    <row r="70" spans="1:2">
      <c r="A70" s="5" t="s">
        <v>55</v>
      </c>
      <c r="B70" s="6">
        <v>0.99</v>
      </c>
    </row>
    <row r="71" spans="1:2">
      <c r="A71" s="5" t="s">
        <v>56</v>
      </c>
      <c r="B71" s="6">
        <v>28.88</v>
      </c>
    </row>
    <row r="72" spans="1:2">
      <c r="A72" s="9" t="s">
        <v>57</v>
      </c>
      <c r="B72" s="10">
        <f>SUM(B68:B71)</f>
        <v>0</v>
      </c>
    </row>
    <row r="74" spans="1:2">
      <c r="A74" s="3" t="s">
        <v>58</v>
      </c>
      <c r="B74" s="3"/>
    </row>
    <row r="75" spans="1:2">
      <c r="A75" s="4" t="s">
        <v>24</v>
      </c>
      <c r="B75" s="4" t="s">
        <v>4</v>
      </c>
    </row>
    <row r="76" spans="1:2">
      <c r="A76" s="5" t="s">
        <v>59</v>
      </c>
      <c r="B76" s="6">
        <v>600</v>
      </c>
    </row>
    <row r="77" spans="1:2">
      <c r="A77" s="5" t="s">
        <v>60</v>
      </c>
      <c r="B77" s="6">
        <v>100</v>
      </c>
    </row>
    <row r="78" spans="1:2">
      <c r="A78" s="5" t="s">
        <v>61</v>
      </c>
      <c r="B78" s="6">
        <v>240</v>
      </c>
    </row>
    <row r="79" spans="1:2">
      <c r="A79" s="9" t="s">
        <v>62</v>
      </c>
      <c r="B79" s="10">
        <f>SUM(B76:B78)</f>
        <v>0</v>
      </c>
    </row>
    <row r="81" spans="1:2">
      <c r="A81" s="3" t="s">
        <v>63</v>
      </c>
      <c r="B81" s="3"/>
    </row>
    <row r="82" spans="1:2">
      <c r="A82" s="9" t="s">
        <v>64</v>
      </c>
      <c r="B82" s="10">
        <f>B34+B41+B50+B56+B64+B72+B79</f>
        <v>0</v>
      </c>
    </row>
    <row r="83" spans="1:2">
      <c r="A83" s="7" t="s">
        <v>65</v>
      </c>
      <c r="B83" s="8">
        <f>B25+B26</f>
        <v>0</v>
      </c>
    </row>
    <row r="84" spans="1:2">
      <c r="A84" s="9" t="s">
        <v>66</v>
      </c>
      <c r="B84" s="10">
        <f>B82-B83</f>
        <v>0</v>
      </c>
    </row>
  </sheetData>
  <mergeCells count="14">
    <mergeCell ref="A1:B1"/>
    <mergeCell ref="A4:B4"/>
    <mergeCell ref="A10:B10"/>
    <mergeCell ref="A17:B17"/>
    <mergeCell ref="A21:B21"/>
    <mergeCell ref="A28:B28"/>
    <mergeCell ref="A36:B36"/>
    <mergeCell ref="A43:B43"/>
    <mergeCell ref="A52:B52"/>
    <mergeCell ref="A58:B58"/>
    <mergeCell ref="A66:B66"/>
    <mergeCell ref="A74:B74"/>
    <mergeCell ref="A81:B81"/>
    <mergeCell ref="D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40.7109375" customWidth="1"/>
    <col min="2" max="5" width="18.7109375" customWidth="1"/>
  </cols>
  <sheetData>
    <row r="1" spans="1:5" ht="30" customHeight="1">
      <c r="A1" s="1" t="s">
        <v>76</v>
      </c>
      <c r="B1" s="1"/>
      <c r="C1" s="1"/>
      <c r="D1" s="1"/>
      <c r="E1" s="1"/>
    </row>
    <row r="2" spans="1:5">
      <c r="A2" s="2" t="s">
        <v>77</v>
      </c>
    </row>
    <row r="4" spans="1:5">
      <c r="A4" s="3" t="s">
        <v>78</v>
      </c>
      <c r="B4" s="3"/>
      <c r="C4" s="3"/>
      <c r="D4" s="3"/>
      <c r="E4" s="3"/>
    </row>
    <row r="5" spans="1:5">
      <c r="A5" s="4"/>
      <c r="B5" s="4" t="s">
        <v>79</v>
      </c>
      <c r="C5" s="4" t="s">
        <v>80</v>
      </c>
      <c r="D5" s="4" t="s">
        <v>81</v>
      </c>
      <c r="E5" s="4" t="s">
        <v>82</v>
      </c>
    </row>
    <row r="6" spans="1:5">
      <c r="A6" s="9" t="s">
        <v>83</v>
      </c>
      <c r="B6" s="10">
        <f>'Monthly Bills'!B8</f>
        <v>0</v>
      </c>
      <c r="C6" s="10">
        <f>'Monthly Bills'!B84+'Monthly Bills'!B18</f>
        <v>0</v>
      </c>
      <c r="D6" s="10">
        <f>'Monthly Bills'!B19</f>
        <v>0</v>
      </c>
      <c r="E6" s="10">
        <f>B6-C6-D6-'Monthly Bills'!B25-'Monthly Bills'!B26</f>
        <v>0</v>
      </c>
    </row>
    <row r="8" spans="1:5">
      <c r="A8" s="17" t="s">
        <v>84</v>
      </c>
      <c r="B8" s="17"/>
      <c r="C8" s="17"/>
      <c r="D8" s="17"/>
      <c r="E8" s="17"/>
    </row>
    <row r="9" spans="1:5">
      <c r="A9" s="4"/>
      <c r="B9" s="4" t="s">
        <v>4</v>
      </c>
      <c r="C9" s="4" t="s">
        <v>80</v>
      </c>
      <c r="D9" s="4" t="s">
        <v>81</v>
      </c>
      <c r="E9" s="4" t="s">
        <v>82</v>
      </c>
    </row>
    <row r="10" spans="1:5">
      <c r="A10" s="18" t="s">
        <v>85</v>
      </c>
      <c r="B10" s="19">
        <f>'Monthly Bills'!B6/2</f>
        <v>0</v>
      </c>
    </row>
    <row r="11" spans="1:5">
      <c r="A11" s="20" t="s">
        <v>86</v>
      </c>
      <c r="B11" s="21">
        <f>-'Monthly Bills'!B23</f>
        <v>0</v>
      </c>
    </row>
    <row r="12" spans="1:5">
      <c r="A12" s="22" t="s">
        <v>87</v>
      </c>
      <c r="B12" s="23">
        <f>B10+B11</f>
        <v>0</v>
      </c>
    </row>
    <row r="13" spans="1:5">
      <c r="A13" s="18" t="s">
        <v>88</v>
      </c>
      <c r="B13" s="19">
        <f>B12</f>
        <v>0</v>
      </c>
      <c r="C13" s="19">
        <f>ROUND(('Monthly Bills'!B6/'Monthly Bills'!B8)*$C$6/2,2)</f>
        <v>0</v>
      </c>
      <c r="D13" s="19">
        <f>ROUND(('Monthly Bills'!B6/'Monthly Bills'!B8)*$D$6/2,2)</f>
        <v>0</v>
      </c>
      <c r="E13" s="19">
        <f>B13-C13-D13</f>
        <v>0</v>
      </c>
    </row>
    <row r="14" spans="1:5">
      <c r="A14" s="22" t="s">
        <v>89</v>
      </c>
      <c r="B14" s="23">
        <f>B13*2</f>
        <v>0</v>
      </c>
      <c r="C14" s="23">
        <f>C13*2</f>
        <v>0</v>
      </c>
      <c r="D14" s="23">
        <f>D13*2</f>
        <v>0</v>
      </c>
      <c r="E14" s="23">
        <f>E13*2</f>
        <v>0</v>
      </c>
    </row>
    <row r="15" spans="1:5">
      <c r="A15" s="20" t="s">
        <v>90</v>
      </c>
      <c r="B15" s="21">
        <f>'Monthly Bills'!B25</f>
        <v>0</v>
      </c>
    </row>
    <row r="17" spans="1:5">
      <c r="A17" s="17" t="s">
        <v>91</v>
      </c>
      <c r="B17" s="17"/>
      <c r="C17" s="17"/>
      <c r="D17" s="17"/>
      <c r="E17" s="17"/>
    </row>
    <row r="18" spans="1:5">
      <c r="A18" s="4"/>
      <c r="B18" s="4" t="s">
        <v>4</v>
      </c>
      <c r="C18" s="4" t="s">
        <v>80</v>
      </c>
      <c r="D18" s="4" t="s">
        <v>81</v>
      </c>
      <c r="E18" s="4" t="s">
        <v>82</v>
      </c>
    </row>
    <row r="19" spans="1:5">
      <c r="A19" s="18" t="s">
        <v>92</v>
      </c>
      <c r="B19" s="19">
        <f>'Monthly Bills'!B7/2.167</f>
        <v>0</v>
      </c>
    </row>
    <row r="20" spans="1:5">
      <c r="A20" s="20" t="s">
        <v>93</v>
      </c>
      <c r="B20" s="21">
        <f>-'Monthly Bills'!B24</f>
        <v>0</v>
      </c>
    </row>
    <row r="21" spans="1:5">
      <c r="A21" s="22" t="s">
        <v>94</v>
      </c>
      <c r="B21" s="23">
        <f>B19+B20</f>
        <v>0</v>
      </c>
    </row>
    <row r="22" spans="1:5">
      <c r="A22" s="18" t="s">
        <v>88</v>
      </c>
      <c r="B22" s="19">
        <f>B21</f>
        <v>0</v>
      </c>
      <c r="C22" s="19">
        <f>ROUND(('Monthly Bills'!B7/'Monthly Bills'!B8)*$C$6/2.167,2)</f>
        <v>0</v>
      </c>
      <c r="D22" s="19">
        <f>ROUND(('Monthly Bills'!B7/'Monthly Bills'!B8)*$D$6/2.167,2)</f>
        <v>0</v>
      </c>
      <c r="E22" s="19">
        <f>B22-C22-D22</f>
        <v>0</v>
      </c>
    </row>
    <row r="23" spans="1:5">
      <c r="A23" s="22" t="s">
        <v>95</v>
      </c>
      <c r="B23" s="23">
        <f>B22*2.167</f>
        <v>0</v>
      </c>
      <c r="C23" s="23">
        <f>C22*2.167</f>
        <v>0</v>
      </c>
      <c r="D23" s="23">
        <f>D22*2.167</f>
        <v>0</v>
      </c>
      <c r="E23" s="23">
        <f>E22*2.167</f>
        <v>0</v>
      </c>
    </row>
    <row r="24" spans="1:5">
      <c r="A24" s="20" t="s">
        <v>90</v>
      </c>
      <c r="B24" s="21">
        <f>'Monthly Bills'!B26</f>
        <v>0</v>
      </c>
    </row>
    <row r="26" spans="1:5">
      <c r="A26" s="3" t="s">
        <v>96</v>
      </c>
      <c r="B26" s="3"/>
      <c r="C26" s="3"/>
      <c r="D26" s="3"/>
      <c r="E26" s="3"/>
    </row>
    <row r="27" spans="1:5">
      <c r="A27" s="4"/>
      <c r="B27" s="4" t="s">
        <v>97</v>
      </c>
      <c r="C27" s="4" t="s">
        <v>80</v>
      </c>
      <c r="D27" s="4" t="s">
        <v>81</v>
      </c>
      <c r="E27" s="4" t="s">
        <v>82</v>
      </c>
    </row>
    <row r="28" spans="1:5">
      <c r="A28" s="9" t="s">
        <v>98</v>
      </c>
      <c r="B28" s="10">
        <f>B14+B23</f>
        <v>0</v>
      </c>
      <c r="C28" s="10">
        <f>C14+C23</f>
        <v>0</v>
      </c>
      <c r="D28" s="10">
        <f>D14+D23</f>
        <v>0</v>
      </c>
      <c r="E28" s="10">
        <f>E14+E23</f>
        <v>0</v>
      </c>
    </row>
    <row r="29" spans="1:5">
      <c r="A29" s="20" t="s">
        <v>99</v>
      </c>
      <c r="B29" s="21">
        <f>B15+B24</f>
        <v>0</v>
      </c>
      <c r="C29" s="20" t="s">
        <v>100</v>
      </c>
    </row>
    <row r="30" spans="1:5">
      <c r="A30" s="22" t="s">
        <v>101</v>
      </c>
      <c r="B30" s="23">
        <f>B28+B29</f>
        <v>0</v>
      </c>
      <c r="C30" s="23">
        <f>C28</f>
        <v>0</v>
      </c>
      <c r="D30" s="23">
        <f>D28</f>
        <v>0</v>
      </c>
      <c r="E30" s="23">
        <f>E28</f>
        <v>0</v>
      </c>
    </row>
    <row r="31" spans="1:5">
      <c r="A31" s="7" t="s">
        <v>102</v>
      </c>
      <c r="B31" s="8">
        <f>B6</f>
        <v>0</v>
      </c>
      <c r="C31" s="8">
        <f>C6</f>
        <v>0</v>
      </c>
      <c r="D31" s="8">
        <f>D6</f>
        <v>0</v>
      </c>
      <c r="E31" s="8">
        <f>E6</f>
        <v>0</v>
      </c>
    </row>
    <row r="33" spans="1:5">
      <c r="A33" s="24" t="s">
        <v>103</v>
      </c>
      <c r="B33" s="24"/>
      <c r="C33" s="24"/>
      <c r="D33" s="24"/>
      <c r="E33" s="24"/>
    </row>
    <row r="35" spans="1:5">
      <c r="A35" s="17" t="s">
        <v>104</v>
      </c>
      <c r="B35" s="17"/>
      <c r="D35" s="17" t="s">
        <v>111</v>
      </c>
      <c r="E35" s="17"/>
    </row>
    <row r="36" spans="1:5">
      <c r="A36" s="18" t="s">
        <v>105</v>
      </c>
      <c r="B36" s="23">
        <f>B10</f>
        <v>0</v>
      </c>
      <c r="D36" s="18" t="s">
        <v>105</v>
      </c>
      <c r="E36" s="23">
        <f>B19</f>
        <v>0</v>
      </c>
    </row>
    <row r="37" spans="1:5">
      <c r="A37" s="20" t="s">
        <v>106</v>
      </c>
      <c r="B37" s="21">
        <f>'Monthly Bills'!B23</f>
        <v>0</v>
      </c>
      <c r="D37" s="20" t="s">
        <v>106</v>
      </c>
      <c r="E37" s="21">
        <f>'Monthly Bills'!B24</f>
        <v>0</v>
      </c>
    </row>
    <row r="38" spans="1:5">
      <c r="A38" s="22" t="s">
        <v>107</v>
      </c>
      <c r="B38" s="23">
        <f>B12</f>
        <v>0</v>
      </c>
      <c r="D38" s="22" t="s">
        <v>107</v>
      </c>
      <c r="E38" s="23">
        <f>B21</f>
        <v>0</v>
      </c>
    </row>
    <row r="39" spans="1:5">
      <c r="A39" s="18" t="s">
        <v>108</v>
      </c>
      <c r="B39" s="23">
        <f>C13</f>
        <v>0</v>
      </c>
      <c r="D39" s="18" t="s">
        <v>108</v>
      </c>
      <c r="E39" s="23">
        <f>C22</f>
        <v>0</v>
      </c>
    </row>
    <row r="40" spans="1:5">
      <c r="A40" s="18" t="s">
        <v>109</v>
      </c>
      <c r="B40" s="23">
        <f>D13</f>
        <v>0</v>
      </c>
      <c r="D40" s="18" t="s">
        <v>109</v>
      </c>
      <c r="E40" s="23">
        <f>D22</f>
        <v>0</v>
      </c>
    </row>
    <row r="41" spans="1:5">
      <c r="A41" s="18" t="s">
        <v>110</v>
      </c>
      <c r="B41" s="23">
        <f>E13</f>
        <v>0</v>
      </c>
      <c r="D41" s="18" t="s">
        <v>110</v>
      </c>
      <c r="E41" s="23">
        <f>E22</f>
        <v>0</v>
      </c>
    </row>
    <row r="43" spans="1:5">
      <c r="A43" s="25" t="s">
        <v>112</v>
      </c>
      <c r="B43" s="25"/>
      <c r="C43" s="25"/>
      <c r="D43" s="25"/>
      <c r="E43" s="25"/>
    </row>
    <row r="44" spans="1:5">
      <c r="A44" s="26" t="s">
        <v>113</v>
      </c>
      <c r="B44" s="26"/>
      <c r="C44" s="26"/>
      <c r="D44" s="26"/>
      <c r="E44" s="26"/>
    </row>
  </sheetData>
  <mergeCells count="10">
    <mergeCell ref="A1:E1"/>
    <mergeCell ref="A4:E4"/>
    <mergeCell ref="A8:E8"/>
    <mergeCell ref="A17:E17"/>
    <mergeCell ref="A26:E26"/>
    <mergeCell ref="A33:E33"/>
    <mergeCell ref="A35:B35"/>
    <mergeCell ref="D35:E35"/>
    <mergeCell ref="A43:E43"/>
    <mergeCell ref="A44:E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25.7109375" customWidth="1"/>
    <col min="2" max="2" width="18.7109375" customWidth="1"/>
    <col min="3" max="3" width="5.7109375" customWidth="1"/>
    <col min="4" max="4" width="25.7109375" customWidth="1"/>
    <col min="5" max="5" width="18.7109375" customWidth="1"/>
  </cols>
  <sheetData>
    <row r="1" spans="1:5" ht="30" customHeight="1">
      <c r="A1" s="1" t="s">
        <v>114</v>
      </c>
      <c r="B1" s="1"/>
      <c r="C1" s="1"/>
      <c r="D1" s="1"/>
      <c r="E1" s="1"/>
    </row>
    <row r="2" spans="1:5">
      <c r="A2" s="2" t="s">
        <v>115</v>
      </c>
    </row>
    <row r="4" spans="1:5">
      <c r="A4" s="3" t="s">
        <v>2</v>
      </c>
      <c r="B4" s="3"/>
      <c r="D4" s="3" t="s">
        <v>118</v>
      </c>
      <c r="E4" s="3"/>
    </row>
    <row r="5" spans="1:5">
      <c r="A5" s="4" t="s">
        <v>3</v>
      </c>
      <c r="B5" s="4" t="s">
        <v>4</v>
      </c>
      <c r="D5" s="4" t="s">
        <v>119</v>
      </c>
      <c r="E5" s="4" t="s">
        <v>4</v>
      </c>
    </row>
    <row r="6" spans="1:5">
      <c r="A6" s="7" t="s">
        <v>9</v>
      </c>
      <c r="B6" s="8">
        <f>'Monthly Bills'!B6</f>
        <v>0</v>
      </c>
      <c r="D6" s="7" t="s">
        <v>80</v>
      </c>
      <c r="E6" s="8">
        <f>'Monthly Bills'!B84+'Monthly Bills'!B18</f>
        <v>0</v>
      </c>
    </row>
    <row r="7" spans="1:5">
      <c r="A7" s="7" t="s">
        <v>116</v>
      </c>
      <c r="B7" s="8">
        <f>'Monthly Bills'!B7</f>
        <v>0</v>
      </c>
      <c r="D7" s="7" t="s">
        <v>81</v>
      </c>
      <c r="E7" s="8">
        <f>'Monthly Bills'!B19</f>
        <v>0</v>
      </c>
    </row>
    <row r="8" spans="1:5">
      <c r="A8" s="9" t="s">
        <v>117</v>
      </c>
      <c r="B8" s="10">
        <f>'Monthly Bills'!B8</f>
        <v>0</v>
      </c>
      <c r="D8" s="7" t="s">
        <v>82</v>
      </c>
      <c r="E8" s="8">
        <f>'Monthly Bills'!B8-E6-E7-'Monthly Bills'!B25-'Monthly Bills'!B26</f>
        <v>0</v>
      </c>
    </row>
    <row r="9" spans="1:5">
      <c r="D9" s="7" t="s">
        <v>120</v>
      </c>
      <c r="E9" s="8">
        <f>'Monthly Bills'!B25+'Monthly Bills'!B26</f>
        <v>0</v>
      </c>
    </row>
    <row r="10" spans="1:5">
      <c r="A10" s="3" t="s">
        <v>122</v>
      </c>
      <c r="B10" s="3"/>
      <c r="D10" s="9" t="s">
        <v>121</v>
      </c>
      <c r="E10" s="10">
        <f>SUM(E6:E9)</f>
        <v>0</v>
      </c>
    </row>
    <row r="11" spans="1:5">
      <c r="A11" s="7" t="s">
        <v>97</v>
      </c>
      <c r="B11" s="27">
        <f>'Monthly Bills'!B8</f>
        <v>0</v>
      </c>
    </row>
    <row r="12" spans="1:5">
      <c r="A12" s="7" t="s">
        <v>123</v>
      </c>
      <c r="B12" s="28">
        <f>'Monthly Bills'!B82</f>
        <v>0</v>
      </c>
    </row>
    <row r="13" spans="1:5">
      <c r="A13" s="7" t="s">
        <v>124</v>
      </c>
      <c r="B13" s="8">
        <f>'Monthly Bills'!B18</f>
        <v>0</v>
      </c>
    </row>
    <row r="14" spans="1:5">
      <c r="A14" s="7" t="s">
        <v>125</v>
      </c>
      <c r="B14" s="8">
        <f>'Monthly Bills'!B19</f>
        <v>0</v>
      </c>
    </row>
    <row r="15" spans="1:5">
      <c r="A15" s="7" t="s">
        <v>126</v>
      </c>
      <c r="B15" s="27">
        <f>E8</f>
        <v>0</v>
      </c>
    </row>
    <row r="17" spans="1:5">
      <c r="A17" s="11" t="s">
        <v>127</v>
      </c>
      <c r="B17" s="11"/>
      <c r="D17" s="11" t="s">
        <v>128</v>
      </c>
      <c r="E17" s="11"/>
    </row>
    <row r="18" spans="1:5">
      <c r="A18" s="4" t="s">
        <v>3</v>
      </c>
      <c r="B18" s="4" t="s">
        <v>4</v>
      </c>
      <c r="D18" s="4" t="s">
        <v>119</v>
      </c>
      <c r="E18" s="4" t="s">
        <v>4</v>
      </c>
    </row>
    <row r="19" spans="1:5">
      <c r="A19" s="12" t="s">
        <v>9</v>
      </c>
      <c r="B19" s="13">
        <f>'Monthly Bills'!B12</f>
        <v>0</v>
      </c>
      <c r="D19" s="12" t="s">
        <v>80</v>
      </c>
      <c r="E19" s="13">
        <f>'Monthly Bills'!B84+'Monthly Bills'!B18</f>
        <v>0</v>
      </c>
    </row>
    <row r="20" spans="1:5">
      <c r="A20" s="12" t="s">
        <v>10</v>
      </c>
      <c r="B20" s="13">
        <f>'Monthly Bills'!B13</f>
        <v>0</v>
      </c>
      <c r="D20" s="12" t="s">
        <v>81</v>
      </c>
      <c r="E20" s="13">
        <f>'Monthly Bills'!B19</f>
        <v>0</v>
      </c>
    </row>
    <row r="21" spans="1:5">
      <c r="A21" s="14" t="s">
        <v>11</v>
      </c>
      <c r="B21" s="15">
        <f>'Monthly Bills'!B14</f>
        <v>0</v>
      </c>
      <c r="D21" s="12" t="s">
        <v>82</v>
      </c>
      <c r="E21" s="13">
        <f>'Monthly Bills'!B14-E19-E20-'Monthly Bills'!B25-'Monthly Bills'!B26</f>
        <v>0</v>
      </c>
    </row>
    <row r="22" spans="1:5">
      <c r="D22" s="12" t="s">
        <v>120</v>
      </c>
      <c r="E22" s="13">
        <f>'Monthly Bills'!B25+'Monthly Bills'!B26</f>
        <v>0</v>
      </c>
    </row>
    <row r="23" spans="1:5">
      <c r="A23" s="11" t="s">
        <v>129</v>
      </c>
      <c r="B23" s="11"/>
      <c r="D23" s="14" t="s">
        <v>121</v>
      </c>
      <c r="E23" s="15">
        <f>SUM(E19:E22)</f>
        <v>0</v>
      </c>
    </row>
    <row r="24" spans="1:5">
      <c r="A24" s="12" t="s">
        <v>130</v>
      </c>
      <c r="B24" s="13">
        <f>'Monthly Bills'!B14</f>
        <v>0</v>
      </c>
    </row>
    <row r="25" spans="1:5">
      <c r="A25" s="12" t="s">
        <v>123</v>
      </c>
      <c r="B25" s="13">
        <f>'Monthly Bills'!B82</f>
        <v>0</v>
      </c>
    </row>
    <row r="26" spans="1:5">
      <c r="A26" s="12" t="s">
        <v>124</v>
      </c>
      <c r="B26" s="13">
        <f>'Monthly Bills'!B18</f>
        <v>0</v>
      </c>
    </row>
    <row r="27" spans="1:5">
      <c r="A27" s="12" t="s">
        <v>125</v>
      </c>
      <c r="B27" s="13">
        <f>'Monthly Bills'!B19</f>
        <v>0</v>
      </c>
    </row>
    <row r="28" spans="1:5">
      <c r="A28" s="12" t="s">
        <v>131</v>
      </c>
      <c r="B28" s="13">
        <f>E21</f>
        <v>0</v>
      </c>
    </row>
    <row r="29" spans="1:5">
      <c r="A29" s="14" t="s">
        <v>132</v>
      </c>
      <c r="B29" s="15">
        <f>B28-B15</f>
        <v>0</v>
      </c>
    </row>
  </sheetData>
  <mergeCells count="7">
    <mergeCell ref="A1:E1"/>
    <mergeCell ref="A4:B4"/>
    <mergeCell ref="D4:E4"/>
    <mergeCell ref="A10:B10"/>
    <mergeCell ref="A17:B17"/>
    <mergeCell ref="D17:E17"/>
    <mergeCell ref="A23:B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25.7109375" customWidth="1"/>
    <col min="2" max="3" width="15.7109375" customWidth="1"/>
    <col min="4" max="4" width="5.7109375" customWidth="1"/>
    <col min="5" max="5" width="25.7109375" customWidth="1"/>
    <col min="6" max="7" width="15.7109375" customWidth="1"/>
  </cols>
  <sheetData>
    <row r="1" spans="1:7" ht="30" customHeight="1">
      <c r="A1" s="1" t="s">
        <v>133</v>
      </c>
      <c r="B1" s="1"/>
      <c r="C1" s="1"/>
      <c r="D1" s="1"/>
      <c r="E1" s="1"/>
      <c r="F1" s="1"/>
      <c r="G1" s="1"/>
    </row>
    <row r="3" spans="1:7">
      <c r="A3" s="3" t="s">
        <v>134</v>
      </c>
      <c r="B3" s="3"/>
      <c r="C3" s="3"/>
      <c r="E3" s="11" t="s">
        <v>147</v>
      </c>
      <c r="F3" s="11"/>
      <c r="G3" s="11"/>
    </row>
    <row r="4" spans="1:7">
      <c r="A4" s="7" t="s">
        <v>135</v>
      </c>
      <c r="B4" s="27">
        <f>Overview!E8</f>
        <v>0</v>
      </c>
      <c r="E4" s="12" t="s">
        <v>148</v>
      </c>
      <c r="F4" s="13">
        <f>Overview!E21</f>
        <v>0</v>
      </c>
    </row>
    <row r="6" spans="1:7">
      <c r="A6" s="4" t="s">
        <v>68</v>
      </c>
      <c r="B6" s="4" t="s">
        <v>136</v>
      </c>
      <c r="C6" s="4" t="s">
        <v>137</v>
      </c>
      <c r="E6" s="4" t="s">
        <v>68</v>
      </c>
      <c r="F6" s="4" t="s">
        <v>136</v>
      </c>
      <c r="G6" s="4" t="s">
        <v>137</v>
      </c>
    </row>
    <row r="7" spans="1:7">
      <c r="A7" s="5" t="s">
        <v>138</v>
      </c>
      <c r="B7" s="6">
        <v>350</v>
      </c>
      <c r="C7" s="29">
        <f>IF($B$4&gt;0,B7/$B$4,0)</f>
        <v>0</v>
      </c>
      <c r="E7" s="12" t="s">
        <v>138</v>
      </c>
      <c r="F7" s="13">
        <f>B7</f>
        <v>0</v>
      </c>
      <c r="G7" s="30">
        <f>IF($F$4&gt;0,F7/$F$4,0)</f>
        <v>0</v>
      </c>
    </row>
    <row r="8" spans="1:7">
      <c r="A8" s="5" t="s">
        <v>139</v>
      </c>
      <c r="B8" s="6">
        <v>225</v>
      </c>
      <c r="C8" s="29">
        <f>IF($B$4&gt;0,B8/$B$4,0)</f>
        <v>0</v>
      </c>
      <c r="E8" s="12" t="s">
        <v>139</v>
      </c>
      <c r="F8" s="13">
        <f>B8</f>
        <v>0</v>
      </c>
      <c r="G8" s="30">
        <f>IF($F$4&gt;0,F8/$F$4,0)</f>
        <v>0</v>
      </c>
    </row>
    <row r="9" spans="1:7">
      <c r="A9" s="5" t="s">
        <v>140</v>
      </c>
      <c r="B9" s="6">
        <v>225</v>
      </c>
      <c r="C9" s="29">
        <f>IF($B$4&gt;0,B9/$B$4,0)</f>
        <v>0</v>
      </c>
      <c r="E9" s="12" t="s">
        <v>140</v>
      </c>
      <c r="F9" s="13">
        <f>B9</f>
        <v>0</v>
      </c>
      <c r="G9" s="30">
        <f>IF($F$4&gt;0,F9/$F$4,0)</f>
        <v>0</v>
      </c>
    </row>
    <row r="10" spans="1:7">
      <c r="A10" s="5" t="s">
        <v>141</v>
      </c>
      <c r="B10" s="6">
        <v>175</v>
      </c>
      <c r="C10" s="29">
        <f>IF($B$4&gt;0,B10/$B$4,0)</f>
        <v>0</v>
      </c>
      <c r="E10" s="12" t="s">
        <v>141</v>
      </c>
      <c r="F10" s="13">
        <f>B10</f>
        <v>0</v>
      </c>
      <c r="G10" s="30">
        <f>IF($F$4&gt;0,F10/$F$4,0)</f>
        <v>0</v>
      </c>
    </row>
    <row r="11" spans="1:7">
      <c r="A11" s="5" t="s">
        <v>142</v>
      </c>
      <c r="B11" s="6">
        <v>150</v>
      </c>
      <c r="C11" s="29">
        <f>IF($B$4&gt;0,B11/$B$4,0)</f>
        <v>0</v>
      </c>
      <c r="E11" s="12" t="s">
        <v>142</v>
      </c>
      <c r="F11" s="13">
        <f>B11</f>
        <v>0</v>
      </c>
      <c r="G11" s="30">
        <f>IF($F$4&gt;0,F11/$F$4,0)</f>
        <v>0</v>
      </c>
    </row>
    <row r="12" spans="1:7">
      <c r="A12" s="5" t="s">
        <v>143</v>
      </c>
      <c r="B12" s="6">
        <v>150</v>
      </c>
      <c r="C12" s="29">
        <f>IF($B$4&gt;0,B12/$B$4,0)</f>
        <v>0</v>
      </c>
      <c r="E12" s="12" t="s">
        <v>143</v>
      </c>
      <c r="F12" s="13">
        <f>B12</f>
        <v>0</v>
      </c>
      <c r="G12" s="30">
        <f>IF($F$4&gt;0,F12/$F$4,0)</f>
        <v>0</v>
      </c>
    </row>
    <row r="13" spans="1:7">
      <c r="A13" s="5" t="s">
        <v>144</v>
      </c>
      <c r="B13" s="6">
        <v>100</v>
      </c>
      <c r="C13" s="29">
        <f>IF($B$4&gt;0,B13/$B$4,0)</f>
        <v>0</v>
      </c>
      <c r="E13" s="12" t="s">
        <v>144</v>
      </c>
      <c r="F13" s="13">
        <f>B13</f>
        <v>0</v>
      </c>
      <c r="G13" s="30">
        <f>IF($F$4&gt;0,F13/$F$4,0)</f>
        <v>0</v>
      </c>
    </row>
    <row r="14" spans="1:7">
      <c r="A14" s="9" t="s">
        <v>145</v>
      </c>
      <c r="B14" s="10">
        <f>$B$4-SUM(B7:B13)</f>
        <v>0</v>
      </c>
      <c r="C14" s="31">
        <f>IF($B$4&gt;0,B14/$B$4,0)</f>
        <v>0</v>
      </c>
      <c r="E14" s="14" t="s">
        <v>145</v>
      </c>
      <c r="F14" s="15">
        <f>$F$4-SUM(F7:F13)</f>
        <v>0</v>
      </c>
      <c r="G14" s="32">
        <f>IF($F$4&gt;0,F14/$F$4,0)</f>
        <v>0</v>
      </c>
    </row>
    <row r="16" spans="1:7">
      <c r="A16" s="9" t="s">
        <v>146</v>
      </c>
      <c r="B16" s="10">
        <f>SUM(B7:B14)</f>
        <v>0</v>
      </c>
      <c r="E16" s="14" t="s">
        <v>146</v>
      </c>
      <c r="F16" s="15">
        <f>SUM(F7:F14)</f>
        <v>0</v>
      </c>
    </row>
    <row r="18" spans="5:6">
      <c r="E18" s="14" t="s">
        <v>149</v>
      </c>
      <c r="F18" s="15">
        <f>F14-B14</f>
        <v>0</v>
      </c>
    </row>
  </sheetData>
  <mergeCells count="3">
    <mergeCell ref="A1:G1"/>
    <mergeCell ref="A3:C3"/>
    <mergeCell ref="E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Bills</vt:lpstr>
      <vt:lpstr>Paycheck Breakdown</vt:lpstr>
      <vt:lpstr>Overview</vt:lpstr>
      <vt:lpstr>Spending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2026-10-09T18:08:43Z</dcterms:created>
  <dcterms:modified xsi:type="dcterms:W3CDTF">2026-10-09T18:08:43Z</dcterms:modified>
</cp:coreProperties>
</file>